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Proposal_Approval" sheetId="1" state="visible" r:id="rId1"/>
    <sheet xmlns:r="http://schemas.openxmlformats.org/officeDocument/2006/relationships" name="2_MasterSchedule" sheetId="2" state="visible" r:id="rId2"/>
    <sheet xmlns:r="http://schemas.openxmlformats.org/officeDocument/2006/relationships" name="3_ItemAllocation" sheetId="3" state="visible" r:id="rId3"/>
    <sheet xmlns:r="http://schemas.openxmlformats.org/officeDocument/2006/relationships" name="4_ReleasePlan" sheetId="4" state="visible" r:id="rId4"/>
    <sheet xmlns:r="http://schemas.openxmlformats.org/officeDocument/2006/relationships" name="5_Responsibilities" sheetId="5" state="visible" r:id="rId5"/>
    <sheet xmlns:r="http://schemas.openxmlformats.org/officeDocument/2006/relationships" name="6_Deliverables" sheetId="6" state="visible" r:id="rId6"/>
    <sheet xmlns:r="http://schemas.openxmlformats.org/officeDocument/2006/relationships" name="7_Timeline" sheetId="7" state="visible" r:id="rId7"/>
    <sheet xmlns:r="http://schemas.openxmlformats.org/officeDocument/2006/relationships" name="8_PlanningPoker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color rgb="FF52514E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sz val="9"/>
    </font>
    <font>
      <name val="Arial"/>
      <charset val="1"/>
      <family val="0"/>
      <sz val="9"/>
    </font>
  </fonts>
  <fills count="7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/>
    </xf>
    <xf numFmtId="0" fontId="9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164" fontId="6" fillId="4" borderId="1" applyAlignment="1" pivotButton="0" quotePrefix="0" xfId="0">
      <alignment horizontal="general" vertical="top" wrapText="1"/>
    </xf>
    <xf numFmtId="9" fontId="6" fillId="4" borderId="1" applyAlignment="1" pivotButton="0" quotePrefix="0" xfId="0">
      <alignment horizontal="general" vertical="top" wrapText="1"/>
    </xf>
    <xf numFmtId="165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164" fontId="6" fillId="5" borderId="1" applyAlignment="1" pivotButton="0" quotePrefix="0" xfId="0">
      <alignment horizontal="general" vertical="top" wrapText="1"/>
    </xf>
    <xf numFmtId="9" fontId="6" fillId="5" borderId="1" applyAlignment="1" pivotButton="0" quotePrefix="0" xfId="0">
      <alignment horizontal="general" vertical="top" wrapText="1"/>
    </xf>
    <xf numFmtId="165" fontId="6" fillId="5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164" fontId="6" fillId="6" borderId="1" applyAlignment="1" pivotButton="0" quotePrefix="0" xfId="0">
      <alignment horizontal="general" vertical="top" wrapText="1"/>
    </xf>
    <xf numFmtId="165" fontId="6" fillId="6" borderId="1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3" fontId="10" fillId="0" borderId="1" applyAlignment="1" pivotButton="0" quotePrefix="0" xfId="0">
      <alignment horizontal="general" vertical="top" wrapText="1"/>
    </xf>
    <xf numFmtId="3" fontId="7" fillId="3" borderId="1" applyAlignment="1" pivotButton="0" quotePrefix="0" xfId="0">
      <alignment horizontal="general" vertical="top" wrapText="1"/>
    </xf>
    <xf numFmtId="3" fontId="7" fillId="0" borderId="1" applyAlignment="1" pivotButton="0" quotePrefix="0" xfId="0">
      <alignment horizontal="general" vertical="top" wrapText="1"/>
    </xf>
    <xf numFmtId="3" fontId="6" fillId="0" borderId="1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5" fontId="11" fillId="2" borderId="1" applyAlignment="1" pivotButton="0" quotePrefix="0" xfId="0">
      <alignment horizontal="center" vertical="bottom" textRotation="90"/>
    </xf>
    <xf numFmtId="0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general" vertical="bottom"/>
    </xf>
    <xf numFmtId="0" fontId="7" fillId="3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0" fillId="0" borderId="5" pivotButton="0" quotePrefix="0" xfId="0"/>
    <xf numFmtId="0" fontId="8" fillId="0" borderId="0" applyAlignment="1" pivotButton="0" quotePrefix="0" xfId="0">
      <alignment horizontal="general" vertical="top"/>
    </xf>
    <xf numFmtId="0" fontId="9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0" borderId="7" pivotButton="0" quotePrefix="0" xfId="0"/>
    <xf numFmtId="0" fontId="7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164" fontId="6" fillId="4" borderId="1" applyAlignment="1" pivotButton="0" quotePrefix="0" xfId="0">
      <alignment horizontal="general" vertical="top" wrapText="1"/>
    </xf>
    <xf numFmtId="9" fontId="6" fillId="4" borderId="1" applyAlignment="1" pivotButton="0" quotePrefix="0" xfId="0">
      <alignment horizontal="general" vertical="top" wrapText="1"/>
    </xf>
    <xf numFmtId="165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164" fontId="6" fillId="5" borderId="1" applyAlignment="1" pivotButton="0" quotePrefix="0" xfId="0">
      <alignment horizontal="general" vertical="top" wrapText="1"/>
    </xf>
    <xf numFmtId="9" fontId="6" fillId="5" borderId="1" applyAlignment="1" pivotButton="0" quotePrefix="0" xfId="0">
      <alignment horizontal="general" vertical="top" wrapText="1"/>
    </xf>
    <xf numFmtId="165" fontId="6" fillId="5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165" fontId="7" fillId="0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164" fontId="6" fillId="6" borderId="1" applyAlignment="1" pivotButton="0" quotePrefix="0" xfId="0">
      <alignment horizontal="general" vertical="top" wrapText="1"/>
    </xf>
    <xf numFmtId="165" fontId="6" fillId="6" borderId="1" applyAlignment="1" pivotButton="0" quotePrefix="0" xfId="0">
      <alignment horizontal="general" vertical="top" wrapText="1"/>
    </xf>
    <xf numFmtId="164" fontId="6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3" fontId="10" fillId="0" borderId="1" applyAlignment="1" pivotButton="0" quotePrefix="0" xfId="0">
      <alignment horizontal="general" vertical="top" wrapText="1"/>
    </xf>
    <xf numFmtId="3" fontId="7" fillId="3" borderId="1" applyAlignment="1" pivotButton="0" quotePrefix="0" xfId="0">
      <alignment horizontal="general" vertical="top" wrapText="1"/>
    </xf>
    <xf numFmtId="3" fontId="7" fillId="0" borderId="1" applyAlignment="1" pivotButton="0" quotePrefix="0" xfId="0">
      <alignment horizontal="general" vertical="top" wrapText="1"/>
    </xf>
    <xf numFmtId="3" fontId="6" fillId="0" borderId="1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5" fontId="11" fillId="2" borderId="1" applyAlignment="1" pivotButton="0" quotePrefix="0" xfId="0">
      <alignment horizontal="center" vertical="bottom" textRotation="90"/>
    </xf>
    <xf numFmtId="0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general" vertical="bottom"/>
    </xf>
    <xf numFmtId="0" fontId="7" fillId="3" borderId="2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0B0B0B"/>
        </patternFill>
      </fill>
    </dxf>
    <dxf>
      <fill>
        <patternFill>
          <bgColor rgb="FF1F3864"/>
        </patternFill>
      </fill>
    </dxf>
    <dxf>
      <fill>
        <patternFill>
          <bgColor rgb="FFA6A6A6"/>
        </patternFill>
      </fill>
    </dxf>
    <dxf>
      <border>
        <left style="medium">
          <color rgb="FFC00000"/>
        </left>
        <right style="medium">
          <color rgb="FFC00000"/>
        </right>
        <top/>
        <bottom/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B0B0B"/>
      <rgbColor rgb="FF333300"/>
      <rgbColor rgb="FF993300"/>
      <rgbColor rgb="FF993366"/>
      <rgbColor rgb="FF333399"/>
      <rgbColor rgb="FF52514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37" min="1" max="1"/>
    <col width="22" customWidth="1" style="37" min="2" max="4"/>
    <col width="36" customWidth="1" style="37" min="5" max="5"/>
    <col width="30" customWidth="1" style="37" min="6" max="6"/>
    <col width="40" customWidth="1" style="37" min="7" max="7"/>
    <col width="26" customWidth="1" style="37" min="8" max="8"/>
  </cols>
  <sheetData>
    <row r="1" ht="17.35" customHeight="1" s="38">
      <c r="A1" s="39" t="inlineStr">
        <is>
          <t>MASTER PLAN – E-COMMERCIAL BOOK STORE RELEASE 1.0 (Team 6 – Page Turners)</t>
        </is>
      </c>
    </row>
    <row r="2" ht="15" customHeight="1" s="38">
      <c r="A2" s="40" t="inlineStr">
        <is>
          <t>Proposal v0.5 – restructured into the class Master Plan layout (30/10) | Prepared by Nguyễn Minh Chính (PO) with Hồ Du Tuấn Đạt | Schedule 23/10 – 17/11/2026</t>
        </is>
      </c>
    </row>
    <row r="4" ht="15" customHeight="1" s="38">
      <c r="A4" s="41" t="inlineStr">
        <is>
          <t>Course</t>
        </is>
      </c>
      <c r="B4" s="42" t="inlineStr">
        <is>
          <t>Software Project Management (72ITSE41503) – Final Project, Semester 261</t>
        </is>
      </c>
      <c r="C4" s="43" t="n"/>
      <c r="D4" s="43" t="n"/>
      <c r="E4" s="43" t="n"/>
      <c r="F4" s="43" t="n"/>
      <c r="G4" s="43" t="n"/>
      <c r="H4" s="43" t="n"/>
    </row>
    <row r="5" ht="15" customHeight="1" s="38">
      <c r="A5" s="41" t="inlineStr">
        <is>
          <t>Sponsor / Customer</t>
        </is>
      </c>
      <c r="B5" s="42" t="inlineStr">
        <is>
          <t>Dr. Bùi Minh Phụng (lecturer) in the role of Ms. Le – approves the plan, issues the Change Request, signs UAT</t>
        </is>
      </c>
      <c r="C5" s="43" t="n"/>
      <c r="D5" s="43" t="n"/>
      <c r="E5" s="43" t="n"/>
      <c r="F5" s="43" t="n"/>
      <c r="G5" s="43" t="n"/>
      <c r="H5" s="43" t="n"/>
    </row>
    <row r="6" ht="15" customHeight="1" s="38">
      <c r="A6" s="41" t="inlineStr">
        <is>
          <t>Release 1.0 scope</t>
        </is>
      </c>
      <c r="B6" s="42" t="inlineStr">
        <is>
          <t>F1 System administration · F2 Book management · F3 Book list · F4 Book details · F5 Search/filter [03 §2.2] – 18 backlog items (US-01…US-13, NFR-01…NFR-05)</t>
        </is>
      </c>
      <c r="C6" s="43" t="n"/>
      <c r="D6" s="43" t="n"/>
      <c r="E6" s="43" t="n"/>
      <c r="F6" s="43" t="n"/>
      <c r="G6" s="43" t="n"/>
      <c r="H6" s="43" t="n"/>
    </row>
    <row r="7" ht="15" customHeight="1" s="38">
      <c r="A7" s="41" t="inlineStr">
        <is>
          <t>Out of scope</t>
        </is>
      </c>
      <c r="B7" s="42" t="inlineStr">
        <is>
          <t>Shopping cart, payment, social login → 10 items kept for Release 2 (R2-01…R2-10, sheet 3)</t>
        </is>
      </c>
      <c r="C7" s="43" t="n"/>
      <c r="D7" s="43" t="n"/>
      <c r="E7" s="43" t="n"/>
      <c r="F7" s="43" t="n"/>
      <c r="G7" s="43" t="n"/>
      <c r="H7" s="43" t="n"/>
    </row>
    <row r="8" ht="23.85" customHeight="1" s="38">
      <c r="A8" s="41" t="inlineStr">
        <is>
          <t>Minimum non-functional</t>
        </is>
      </c>
      <c r="B8" s="42" t="inlineStr">
        <is>
          <t>Responsive · ≥ 30 sample books · list page &lt; 2 s · client + server validation · hashed passwords · free hosting online until 17/11</t>
        </is>
      </c>
      <c r="C8" s="43" t="n"/>
      <c r="D8" s="43" t="n"/>
      <c r="E8" s="43" t="n"/>
      <c r="F8" s="43" t="n"/>
      <c r="G8" s="43" t="n"/>
      <c r="H8" s="43" t="n"/>
    </row>
    <row r="9" ht="15" customHeight="1" s="38">
      <c r="A9" s="41" t="inlineStr">
        <is>
          <t>Tools</t>
        </is>
      </c>
      <c r="B9" s="42" t="inlineStr">
        <is>
          <t>Jira (space ECBS: board, Original Estimate, Completed Work) · GitHub repo (main/develop, reviewed PRs, tags) · Excel workbook · stack Next.js + PostgreSQL (Supabase) + Vercel</t>
        </is>
      </c>
      <c r="C9" s="43" t="n"/>
      <c r="D9" s="43" t="n"/>
      <c r="E9" s="43" t="n"/>
      <c r="F9" s="43" t="n"/>
      <c r="G9" s="43" t="n"/>
      <c r="H9" s="43" t="n"/>
    </row>
    <row r="10" ht="15" customHeight="1" s="38">
      <c r="A10" s="41" t="inlineStr">
        <is>
          <t>Effort &amp; budget</t>
        </is>
      </c>
      <c r="B10" s="42">
        <f>"Sprints 1–3: "&amp;TEXT(4_ReleasePlan!H18,"0.0")&amp;" h planned (WBS) → BAC = "&amp;TEXT(4_ReleasePlan!B23,"#,##0")&amp;" VND · capacity "&amp;TEXT(4_ReleasePlan!G18,"0")&amp;" h · PSP: "&amp;4_ReleasePlan!B24</f>
        <v/>
      </c>
      <c r="C10" s="43" t="n"/>
      <c r="D10" s="43" t="n"/>
      <c r="E10" s="43" t="n"/>
      <c r="F10" s="43" t="n"/>
      <c r="G10" s="43" t="n"/>
      <c r="H10" s="43" t="n"/>
    </row>
    <row r="12" ht="15" customHeight="1" s="38">
      <c r="A12" s="44" t="inlineStr">
        <is>
          <t>A. PROPOSED SPRINT LEADER ROTATION (Option A – recommended)</t>
        </is>
      </c>
    </row>
    <row r="13" ht="15" customHeight="1" s="38">
      <c r="A13" s="45" t="inlineStr">
        <is>
          <t>Sprint</t>
        </is>
      </c>
      <c r="B13" s="45" t="inlineStr">
        <is>
          <t>Dates</t>
        </is>
      </c>
      <c r="C13" s="45" t="inlineStr">
        <is>
          <t>Sprint Leader</t>
        </is>
      </c>
      <c r="D13" s="45" t="inlineStr">
        <is>
          <t>Product Owner</t>
        </is>
      </c>
      <c r="E13" s="45" t="inlineStr">
        <is>
          <t>Sprint PM focus</t>
        </is>
      </c>
      <c r="F13" s="45" t="inlineStr">
        <is>
          <t>Increment</t>
        </is>
      </c>
      <c r="G13" s="45" t="inlineStr">
        <is>
          <t>Why this Leader</t>
        </is>
      </c>
      <c r="H13" s="45" t="inlineStr">
        <is>
          <t>Submission / Review</t>
        </is>
      </c>
    </row>
    <row r="14" ht="57.75" customHeight="1" s="38">
      <c r="A14" s="46" t="inlineStr">
        <is>
          <t>Sprint 1</t>
        </is>
      </c>
      <c r="B14" s="46" t="inlineStr">
        <is>
          <t>Fri 23/10 – Thu 29/10</t>
        </is>
      </c>
      <c r="C14" s="46" t="inlineStr">
        <is>
          <t>Hồ Du Tuấn Đạt</t>
        </is>
      </c>
      <c r="D14" s="46" t="inlineStr">
        <is>
          <t>Nguyễn Minh Chính</t>
        </is>
      </c>
      <c r="E14" s="46" t="inlineStr">
        <is>
          <t>PMP v1.0 (7 parts), Product Backlog v1.0, Planning Poker, Release Plan, BAC, Sprint Planning 1; record CR-06</t>
        </is>
      </c>
      <c r="F14" s="46" t="inlineStr">
        <is>
          <t>F1 – System administration + hosting</t>
        </is>
      </c>
      <c r="G14" s="46" t="inlineStr">
        <is>
          <t>Scrum Master in Lab 3 and the TA; owns the repo and the Jira site; built the F1 code</t>
        </is>
      </c>
      <c r="H14" s="46" t="inlineStr">
        <is>
          <t>Due 23:59 Thu 29/10 · Review 1 + CCB: Fri 30/10</t>
        </is>
      </c>
    </row>
    <row r="15" ht="57.75" customHeight="1" s="38">
      <c r="A15" s="46" t="inlineStr">
        <is>
          <t>Sprint 2</t>
        </is>
      </c>
      <c r="B15" s="46" t="inlineStr">
        <is>
          <t>Fri 30/10 – Thu 05/11</t>
        </is>
      </c>
      <c r="C15" s="46" t="inlineStr">
        <is>
          <t>Nguyễn Minh Chính</t>
        </is>
      </c>
      <c r="D15" s="46" t="inlineStr">
        <is>
          <t>Nguyễn Minh Chính</t>
        </is>
      </c>
      <c r="E15" s="46" t="inlineStr">
        <is>
          <t>CR-06 in 5 steps + CCB, Weekly Status Report, risk register and issue log, F2/F3 test cases</t>
        </is>
      </c>
      <c r="F15" s="46" t="inlineStr">
        <is>
          <t>F2 – Book management · F3 – Book list (+ CR-06 US-24 if approved)</t>
        </is>
      </c>
      <c r="G15" s="46" t="inlineStr">
        <is>
          <t>2-member rule: the PO leads Sprint 2 [03 §4.1]; the PO wrote the AC that the CR changes</t>
        </is>
      </c>
      <c r="H15" s="46" t="inlineStr">
        <is>
          <t>Due 23:59 Thu 05/11 · Review 2: Fri 06/11</t>
        </is>
      </c>
    </row>
    <row r="16" ht="57.75" customHeight="1" s="38">
      <c r="A16" s="46" t="inlineStr">
        <is>
          <t>Sprint 3</t>
        </is>
      </c>
      <c r="B16" s="46" t="inlineStr">
        <is>
          <t>Fri 06/11 – Thu 12/11</t>
        </is>
      </c>
      <c r="C16" s="46" t="inlineStr">
        <is>
          <t>Hồ Du Tuấn Đạt</t>
        </is>
      </c>
      <c r="D16" s="46" t="inlineStr">
        <is>
          <t>Nguyễn Minh Chính</t>
        </is>
      </c>
      <c r="E16" s="46" t="inlineStr">
        <is>
          <t>Release v1.0 (tag + release notes), UAT script, EVM draft, F4/F5 test cases, regression F1–F3</t>
        </is>
      </c>
      <c r="F16" s="46" t="inlineStr">
        <is>
          <t>F4 – Book details · F5 – Search/filter (+ CR-06 US-25 if approved)</t>
        </is>
      </c>
      <c r="G16" s="46" t="inlineStr">
        <is>
          <t>Second Sprint for the non-PO member [03 §4.1]; backend owner for search/filter and the release tag</t>
        </is>
      </c>
      <c r="H16" s="46" t="inlineStr">
        <is>
          <t>Due 23:59 Thu 12/11 · Review 3 + UAT: Fri 13/11</t>
        </is>
      </c>
    </row>
    <row r="17" ht="57.75" customHeight="1" s="38">
      <c r="A17" s="46" t="inlineStr">
        <is>
          <t>Closure</t>
        </is>
      </c>
      <c r="B17" s="46" t="inlineStr">
        <is>
          <t>Fri 13/11 – Tue 17/11</t>
        </is>
      </c>
      <c r="C17" s="46" t="inlineStr">
        <is>
          <t>Whole team</t>
        </is>
      </c>
      <c r="D17" s="46" t="inlineStr">
        <is>
          <t>Nguyễn Minh Chính</t>
        </is>
      </c>
      <c r="E17" s="46" t="inlineStr">
        <is>
          <t>Final Report (plan vs. actual, EVM), Lessons Learned, slides, demo video</t>
        </is>
      </c>
      <c r="F17" s="46" t="inlineStr">
        <is>
          <t>Release 1.0 online until end of 17/11</t>
        </is>
      </c>
      <c r="G17" s="46" t="inlineStr">
        <is>
          <t>Not a Sprint – no Leader turn; Chính coordinates the Final Report</t>
        </is>
      </c>
      <c r="H17" s="46" t="inlineStr">
        <is>
          <t>Final submission: 23:59 Sun 15/11 · Presentation: 07:00 Tue 17/11</t>
        </is>
      </c>
    </row>
    <row r="19" ht="15" customHeight="1" s="38">
      <c r="A19" s="44" t="inlineStr">
        <is>
          <t>B. OPTIONS COMPARED</t>
        </is>
      </c>
    </row>
    <row r="20" ht="15" customHeight="1" s="38">
      <c r="A20" s="45" t="inlineStr">
        <is>
          <t>Option</t>
        </is>
      </c>
      <c r="B20" s="45" t="inlineStr">
        <is>
          <t>Sprint 1</t>
        </is>
      </c>
      <c r="C20" s="45" t="inlineStr">
        <is>
          <t>Sprint 2</t>
        </is>
      </c>
      <c r="D20" s="45" t="inlineStr">
        <is>
          <t>Sprint 3</t>
        </is>
      </c>
      <c r="E20" s="45" t="inlineStr">
        <is>
          <t>Pros</t>
        </is>
      </c>
      <c r="F20" s="45" t="inlineStr">
        <is>
          <t>Cons / risks</t>
        </is>
      </c>
      <c r="G20" s="45" t="inlineStr">
        <is>
          <t>Rating</t>
        </is>
      </c>
    </row>
    <row r="21" ht="57.75" customHeight="1" s="38">
      <c r="A21" s="46" t="inlineStr">
        <is>
          <t>A (recommended)</t>
        </is>
      </c>
      <c r="B21" s="46" t="inlineStr">
        <is>
          <t>Hồ Du Tuấn Đạt</t>
        </is>
      </c>
      <c r="C21" s="46" t="inlineStr">
        <is>
          <t>Nguyễn Minh Chính (PO)</t>
        </is>
      </c>
      <c r="D21" s="46" t="inlineStr">
        <is>
          <t>Hồ Du Tuấn Đạt</t>
        </is>
      </c>
      <c r="E21" s="46" t="inlineStr">
        <is>
          <t>Keeps the Lab 3 / TA roles (Chính PO, Đạt Scrum Master); Đạt, who owns the repo and Jira, leads the setup Sprint; the PO is the Leader when the CR is processed.</t>
        </is>
      </c>
      <c r="F21" s="46" t="inlineStr">
        <is>
          <t>In Sprint 2 the PO and the Leader are the same person at the CCB → Đạt reviews the impact analysis before the CCB.</t>
        </is>
      </c>
      <c r="G21" s="46" t="inlineStr">
        <is>
          <t>★★</t>
        </is>
      </c>
    </row>
    <row r="22" ht="57.75" customHeight="1" s="38">
      <c r="A22" s="46" t="inlineStr">
        <is>
          <t>B</t>
        </is>
      </c>
      <c r="B22" s="46" t="inlineStr">
        <is>
          <t>Nguyễn Minh Chính</t>
        </is>
      </c>
      <c r="C22" s="46" t="inlineStr">
        <is>
          <t>Hồ Du Tuấn Đạt (PO)</t>
        </is>
      </c>
      <c r="D22" s="46" t="inlineStr">
        <is>
          <t>Nguyễn Minh Chính</t>
        </is>
      </c>
      <c r="E22" s="46" t="inlineStr">
        <is>
          <t>Chính leads twice and keeps the board, where he already did the TA Week 2 setup.</t>
        </is>
      </c>
      <c r="F22" s="46" t="inlineStr">
        <is>
          <t>Changes the PO two weeks before the end; Đạt would have to take over the backlog and AC written by Chính; breaks continuity with Lab 3.</t>
        </is>
      </c>
      <c r="G22" s="46" t="inlineStr">
        <is>
          <t>★</t>
        </is>
      </c>
    </row>
    <row r="23" ht="15" customHeight="1" s="38">
      <c r="A23" s="40" t="inlineStr">
        <is>
          <t>With 2 members the rule allows only these two patterns: the PO leads Sprint 2, the other member leads Sprints 1 and 3 [03 §4.1].</t>
        </is>
      </c>
    </row>
    <row r="25" ht="15" customHeight="1" s="38">
      <c r="A25" s="44" t="inlineStr">
        <is>
          <t>C. DECISIONS FOR APPROVAL  (choose in the 'Status' column – yellow cells)</t>
        </is>
      </c>
    </row>
    <row r="26" ht="15" customHeight="1" s="38">
      <c r="A26" s="45" t="inlineStr">
        <is>
          <t>#</t>
        </is>
      </c>
      <c r="B26" s="45" t="inlineStr">
        <is>
          <t>Item</t>
        </is>
      </c>
      <c r="C26" s="45" t="inlineStr">
        <is>
          <t>Proposal</t>
        </is>
      </c>
      <c r="D26" s="47" t="n"/>
      <c r="E26" s="45" t="inlineStr">
        <is>
          <t>Rationale</t>
        </is>
      </c>
      <c r="F26" s="47" t="n"/>
      <c r="G26" s="45" t="inlineStr">
        <is>
          <t>Status</t>
        </is>
      </c>
      <c r="H26" s="45" t="inlineStr">
        <is>
          <t>Reviewer notes</t>
        </is>
      </c>
    </row>
    <row r="27" ht="69.75" customHeight="1" s="38">
      <c r="A27" s="46" t="n">
        <v>1</v>
      </c>
      <c r="B27" s="41" t="inlineStr">
        <is>
          <t>Leader rotation &amp; PO</t>
        </is>
      </c>
      <c r="C27" s="42" t="inlineStr">
        <is>
          <t>Option A: Đạt (S1) → Chính (S2) → Đạt (S3); PO = Chính, fixed, also a Developer. Recorded in plan/INPUTS.md §1 (30/10/2026).</t>
        </is>
      </c>
      <c r="D27" s="43" t="n"/>
      <c r="E27" s="42" t="inlineStr">
        <is>
          <t>Mandatory 2-member rule [03 §4.1]; continuity with Lab 3 and the TA.</t>
        </is>
      </c>
      <c r="F27" s="43" t="n"/>
      <c r="G27" s="48" t="inlineStr">
        <is>
          <t>Pending</t>
        </is>
      </c>
      <c r="H27" s="48" t="n"/>
    </row>
    <row r="28" ht="69.75" customHeight="1" s="38">
      <c r="A28" s="46" t="n">
        <v>2</v>
      </c>
      <c r="B28" s="41" t="inlineStr">
        <is>
          <t>Product Backlog v1.0</t>
        </is>
      </c>
      <c r="C28" s="42" t="inlineStr">
        <is>
          <t>30 items: 18 for Release 1.0 (US-01…US-13, NFR-01…NFR-05), 2 for CR-06 (US-24, US-25), 10 kept for Release 2 (R2-01…R2-10). GWT ACs and DoR in pm/backlog/.</t>
        </is>
      </c>
      <c r="D28" s="43" t="n"/>
      <c r="E28" s="42" t="inlineStr">
        <is>
          <t>Spec scope [03 §2.2]; ≥ 15 items; gap analysis [05 §1, §4].</t>
        </is>
      </c>
      <c r="F28" s="43" t="n"/>
      <c r="G28" s="48" t="inlineStr">
        <is>
          <t>Pending</t>
        </is>
      </c>
      <c r="H28" s="48" t="n"/>
    </row>
    <row r="29" ht="69.75" customHeight="1" s="38">
      <c r="A29" s="46" t="n">
        <v>3</v>
      </c>
      <c r="B29" s="41" t="inlineStr">
        <is>
          <t>Item allocation per Sprint</t>
        </is>
      </c>
      <c r="C29" s="42" t="inlineStr">
        <is>
          <t>Reference plan: S1 F1 + hosting · S2 F2 + F3 (+ seed data, responsive) · S3 F4 + F5 + list &lt; 2 s + release.</t>
        </is>
      </c>
      <c r="D29" s="43" t="n"/>
      <c r="E29" s="42" t="inlineStr">
        <is>
          <t>Matches the brief's reference Sprints [03 §2.2]; every Increment shown on the hosted URL.</t>
        </is>
      </c>
      <c r="F29" s="43" t="n"/>
      <c r="G29" s="48" t="inlineStr">
        <is>
          <t>Pending</t>
        </is>
      </c>
      <c r="H29" s="48" t="n"/>
    </row>
    <row r="30" ht="69.75" customHeight="1" s="38">
      <c r="A30" s="46" t="n">
        <v>4</v>
      </c>
      <c r="B30" s="41" t="inlineStr">
        <is>
          <t>Capacity &amp; budget</t>
        </is>
      </c>
      <c r="C30" s="42">
        <f>"Capacity "&amp;4_ReleasePlan!B6&amp;" h/person/Sprint = "&amp;4_ReleasePlan!B9&amp;" h/Sprint (plan, PO 30/10). BAC = "&amp;TEXT(4_ReleasePlan!B23,"#,##0")&amp;" VND. Sprint 1 was planned at 48 h, "&amp;TEXT(4_ReleasePlan!H15-4_ReleasePlan!G15,"0.0")&amp;" h over capacity – recorded as a cause of issue I-01."</f>
        <v/>
      </c>
      <c r="D30" s="43" t="n"/>
      <c r="E30" s="42" t="inlineStr">
        <is>
          <t>BAC = planned person-hours × 200,000 VND [03 §6.4]; same figures as PMP-3 §3.5–3.6.</t>
        </is>
      </c>
      <c r="F30" s="43" t="n"/>
      <c r="G30" s="48" t="inlineStr">
        <is>
          <t>Pending</t>
        </is>
      </c>
      <c r="H30" s="48" t="n"/>
    </row>
    <row r="31" ht="69.75" customHeight="1" s="38">
      <c r="A31" s="46" t="n">
        <v>5</v>
      </c>
      <c r="B31" s="41" t="inlineStr">
        <is>
          <t>Estimation</t>
        </is>
      </c>
      <c r="C31" s="42" t="inlineStr">
        <is>
          <t>SP only from Planning Poker with every round logged (sheet 8, BM01 format); expected velocity = PSP ÷ 3 until the actual Sprint 1 velocity exists.</t>
        </is>
      </c>
      <c r="D31" s="43" t="n"/>
      <c r="E31" s="42" t="inlineStr">
        <is>
          <t>Planning Poker evidence is graded (B4) and was missing last year [03 §8].</t>
        </is>
      </c>
      <c r="F31" s="43" t="n"/>
      <c r="G31" s="48" t="inlineStr">
        <is>
          <t>Pending</t>
        </is>
      </c>
      <c r="H31" s="48" t="n"/>
    </row>
    <row r="32" ht="69.75" customHeight="1" s="38">
      <c r="A32" s="46" t="n">
        <v>6</v>
      </c>
      <c r="B32" s="41" t="inlineStr">
        <is>
          <t>Change Request CR-06</t>
        </is>
      </c>
      <c r="C32" s="42" t="inlineStr">
        <is>
          <t>Logged in the Change Log; impact analysis with options A / B / C. Team recommendation: Option B (US-24 in S2, US-25 in S3; +12 h, +2,400,000 VND). Enters the plan only if approved → baseline v1.1.</t>
        </is>
      </c>
      <c r="D32" s="43" t="n"/>
      <c r="E32" s="42" t="inlineStr">
        <is>
          <t>5-step CR process [03 §6.2 item 3]; pm/change/CR-06-impact-analysis.md.</t>
        </is>
      </c>
      <c r="F32" s="43" t="n"/>
      <c r="G32" s="48" t="inlineStr">
        <is>
          <t>Pending</t>
        </is>
      </c>
      <c r="H32" s="48" t="n"/>
    </row>
    <row r="33" ht="69.75" customHeight="1" s="38">
      <c r="A33" s="46" t="n">
        <v>7</v>
      </c>
      <c r="B33" s="41" t="inlineStr">
        <is>
          <t>Scrum event calendar</t>
        </is>
      </c>
      <c r="C33" s="42" t="inlineStr">
        <is>
          <t>Sprint Planning ≤ 45 min on the first day of each Sprint; Daily Scrum ≤ 10 min, logged (channel to confirm in plan/INPUTS.md §1); Review + Retro on Friday in class.</t>
        </is>
      </c>
      <c r="D33" s="43" t="n"/>
      <c r="E33" s="42" t="inlineStr">
        <is>
          <t>Timeboxes [03 §4.2].</t>
        </is>
      </c>
      <c r="F33" s="43" t="n"/>
      <c r="G33" s="48" t="inlineStr">
        <is>
          <t>Pending</t>
        </is>
      </c>
      <c r="H33" s="48" t="n"/>
    </row>
    <row r="34" ht="69.75" customHeight="1" s="38">
      <c r="A34" s="46" t="n">
        <v>8</v>
      </c>
      <c r="B34" s="41" t="inlineStr">
        <is>
          <t>Configuration management</t>
        </is>
      </c>
      <c r="C34" s="42" t="inlineStr">
        <is>
          <t>Branches main ← develop ← feat/Pxx-…, docs/Pxx-…; every change by PR into develop, reviewed by the other member before merge; Conventional Commits + 'Refs: Pxx'; tags baseline-v1.0, baseline-v1.1 (if CR approved), v1.0.</t>
        </is>
      </c>
      <c r="D34" s="43" t="n"/>
      <c r="E34" s="42" t="inlineStr">
        <is>
          <t>No direct commits to main [03 §4.2]; criteria S5 and B7. PRs #1–#4 (30/10) were merged without review – corrected from Sprint 2.</t>
        </is>
      </c>
      <c r="F34" s="43" t="n"/>
      <c r="G34" s="48" t="inlineStr">
        <is>
          <t>Pending</t>
        </is>
      </c>
      <c r="H34" s="48" t="n"/>
    </row>
    <row r="35" ht="69.75" customHeight="1" s="38">
      <c r="A35" s="46" t="n">
        <v>9</v>
      </c>
      <c r="B35" s="41" t="inlineStr">
        <is>
          <t>Sprint 1 recovery</t>
        </is>
      </c>
      <c r="C35" s="42" t="inlineStr">
        <is>
          <t>On 30/10 the Sprint 1 package was not complete at 29/10 23:59 (issue I-01). F1 code is done and tested locally; hosting, Planning Poker, Jira hours and the manual test run are completed before Review 1; the actual S1 result is reported honestly and the allocation re-checked at Sprint Planning 2.</t>
        </is>
      </c>
      <c r="D35" s="43" t="n"/>
      <c r="E35" s="42" t="inlineStr">
        <is>
          <t>Late penalty −10 % per 5 h [03 §4.2]; unfinished work returns to the backlog [Rubric 1, S2].</t>
        </is>
      </c>
      <c r="F35" s="43" t="n"/>
      <c r="G35" s="48" t="inlineStr">
        <is>
          <t>Pending</t>
        </is>
      </c>
      <c r="H35" s="48" t="n"/>
    </row>
    <row r="36" ht="15" customHeight="1" s="38">
      <c r="F36" s="41" t="inlineStr">
        <is>
          <t>Approved:</t>
        </is>
      </c>
      <c r="G36" s="41">
        <f>COUNTIF(G27:G35,"Approved")&amp;"/"&amp;COUNTA(G27:G35)</f>
        <v/>
      </c>
    </row>
    <row r="38" ht="15" customHeight="1" s="38">
      <c r="A38" s="44" t="inlineStr">
        <is>
          <t>D. VERSION HISTORY</t>
        </is>
      </c>
    </row>
    <row r="39" ht="15" customHeight="1" s="38">
      <c r="A39" s="45" t="inlineStr">
        <is>
          <t>Version</t>
        </is>
      </c>
      <c r="B39" s="45" t="inlineStr">
        <is>
          <t>Date</t>
        </is>
      </c>
      <c r="C39" s="45" t="inlineStr">
        <is>
          <t>Author</t>
        </is>
      </c>
      <c r="D39" s="45" t="inlineStr">
        <is>
          <t>Changes</t>
        </is>
      </c>
      <c r="E39" s="43" t="n"/>
      <c r="F39" s="43" t="n"/>
      <c r="G39" s="43" t="n"/>
      <c r="H39" s="47" t="n"/>
    </row>
    <row r="40" ht="30" customHeight="1" s="38">
      <c r="A40" s="46" t="inlineStr">
        <is>
          <t>0.1</t>
        </is>
      </c>
      <c r="B40" s="46" t="inlineStr">
        <is>
          <t>30/10/2026</t>
        </is>
      </c>
      <c r="C40" s="46" t="inlineStr">
        <is>
          <t>Chính (drafted with Claude)</t>
        </is>
      </c>
      <c r="D40" s="42" t="inlineStr">
        <is>
          <t>First draft as a Word document: schedule, milestones, Leader rotation, item allocation, velocity/PSP/BAC formulas.</t>
        </is>
      </c>
      <c r="E40" s="43" t="n"/>
      <c r="F40" s="43" t="n"/>
      <c r="G40" s="43" t="n"/>
      <c r="H40" s="43" t="n"/>
    </row>
    <row r="41" ht="30" customHeight="1" s="38">
      <c r="A41" s="46" t="inlineStr">
        <is>
          <t>0.2</t>
        </is>
      </c>
      <c r="B41" s="46" t="inlineStr">
        <is>
          <t>30/10/2026</t>
        </is>
      </c>
      <c r="C41" s="46" t="inlineStr">
        <is>
          <t>Chính (drafted with Claude)</t>
        </is>
      </c>
      <c r="D41" s="42" t="inlineStr">
        <is>
          <t>Workbook: WBS with owner, proposed hours and dates per task; BAC from the WBS; allocation; timeline; RACI; submission schedule; decisions for approval. vs. TA Work Plan: 2-week Sprint → three 1-week Sprints; scope → Release 1.0 (F1–F5).</t>
        </is>
      </c>
      <c r="E41" s="43" t="n"/>
      <c r="F41" s="43" t="n"/>
      <c r="G41" s="43" t="n"/>
      <c r="H41" s="43" t="n"/>
    </row>
    <row r="42" ht="30" customHeight="1" s="38">
      <c r="A42" s="46" t="inlineStr">
        <is>
          <t>0.3</t>
        </is>
      </c>
      <c r="B42" s="46" t="inlineStr">
        <is>
          <t>30/10/2026</t>
        </is>
      </c>
      <c r="C42" s="46" t="inlineStr">
        <is>
          <t>Chính (drafted with Claude)</t>
        </is>
      </c>
      <c r="D42" s="42" t="inlineStr">
        <is>
          <t>Capacity 28 h/person/Sprint (PO assumption); Planning Poker log in the BM01 format.</t>
        </is>
      </c>
      <c r="E42" s="43" t="n"/>
      <c r="F42" s="43" t="n"/>
      <c r="G42" s="43" t="n"/>
      <c r="H42" s="43" t="n"/>
    </row>
    <row r="43" ht="30" customHeight="1" s="38">
      <c r="A43" s="46" t="inlineStr">
        <is>
          <t>0.4</t>
        </is>
      </c>
      <c r="B43" s="46" t="inlineStr">
        <is>
          <t>30/10/2026</t>
        </is>
      </c>
      <c r="C43" s="46" t="inlineStr">
        <is>
          <t>Chính (drafted with Claude)</t>
        </is>
      </c>
      <c r="D43" s="42" t="inlineStr">
        <is>
          <t>Reorganised into the class Master Plan layout (proposal &amp; approval, master schedule, item allocation, release plan, responsibilities, deliverables) + timeline and Planning Poker sheets; leader options compared.</t>
        </is>
      </c>
      <c r="E43" s="43" t="n"/>
      <c r="F43" s="43" t="n"/>
      <c r="G43" s="43" t="n"/>
      <c r="H43" s="43" t="n"/>
    </row>
    <row r="44" ht="30" customHeight="1" s="38">
      <c r="A44" s="46" t="inlineStr">
        <is>
          <t>0.5</t>
        </is>
      </c>
      <c r="B44" s="46" t="inlineStr">
        <is>
          <t>30/10/2026</t>
        </is>
      </c>
      <c r="C44" s="46" t="inlineStr">
        <is>
          <t>Chính (drafted with Claude)</t>
        </is>
      </c>
      <c r="D44" s="42" t="inlineStr">
        <is>
          <t>Aligned with the repository (PMP-3 v1.1-draft): backlog IDs of Product Backlog v1.0; Sprint 1 = S1_Backlog (14 tasks, 48 h); Sprint 2 = S2_Backlog draft; capacity 20 h/person/Sprint (40 h), BAC 24,000,000 VND; expected velocity = PSP ÷ 3; CR-06 Option B (+12 h).</t>
        </is>
      </c>
      <c r="E44" s="43" t="n"/>
      <c r="F44" s="43" t="n"/>
      <c r="G44" s="43" t="n"/>
      <c r="H44" s="43" t="n"/>
    </row>
    <row r="45">
      <c r="A45" s="46" t="inlineStr">
        <is>
          <t>0.6</t>
        </is>
      </c>
      <c r="B45" s="46" t="inlineStr">
        <is>
          <t>30/10/2026</t>
        </is>
      </c>
      <c r="C45" s="46" t="inlineStr">
        <is>
          <t>Chính (drafted with Claude)</t>
        </is>
      </c>
      <c r="D45" s="42" t="inlineStr">
        <is>
          <t>Sheet 8 filled with PO estimates from AI-suggested values (no voting rounds): PSP = 55 SP (S1 18 · S2 24 · S3 13), CR-06 +7 SP; expected velocity ≈ 18.3 SP/Sprint.</t>
        </is>
      </c>
      <c r="E45" s="43" t="n"/>
      <c r="F45" s="43" t="n"/>
      <c r="G45" s="43" t="n"/>
    </row>
    <row r="46" ht="15" customHeight="1" s="38">
      <c r="A46" s="40" t="inlineStr">
        <is>
          <t>Legend: yellow cells = reviewer / team input. Story Points stay empty until the Planning Poker session; capacity and effort are planning assumptions, not actual hours (actual hours come from Jira Completed Work).</t>
        </is>
      </c>
    </row>
  </sheetData>
  <mergeCells count="33">
    <mergeCell ref="C34:D34"/>
    <mergeCell ref="C30:D30"/>
    <mergeCell ref="B9:H9"/>
    <mergeCell ref="C33:D33"/>
    <mergeCell ref="E33:F33"/>
    <mergeCell ref="B6:H6"/>
    <mergeCell ref="B5:H5"/>
    <mergeCell ref="C26:D26"/>
    <mergeCell ref="D40:H40"/>
    <mergeCell ref="C35:D35"/>
    <mergeCell ref="E35:F35"/>
    <mergeCell ref="C29:D29"/>
    <mergeCell ref="E29:F29"/>
    <mergeCell ref="B4:H4"/>
    <mergeCell ref="E28:F28"/>
    <mergeCell ref="D41:H41"/>
    <mergeCell ref="B7:H7"/>
    <mergeCell ref="C31:D31"/>
    <mergeCell ref="E31:F31"/>
    <mergeCell ref="E34:F34"/>
    <mergeCell ref="E30:F30"/>
    <mergeCell ref="D43:H43"/>
    <mergeCell ref="C27:D27"/>
    <mergeCell ref="E27:F27"/>
    <mergeCell ref="E26:F26"/>
    <mergeCell ref="B8:H8"/>
    <mergeCell ref="D39:H39"/>
    <mergeCell ref="C32:D32"/>
    <mergeCell ref="E32:F32"/>
    <mergeCell ref="D42:H42"/>
    <mergeCell ref="C28:D28"/>
    <mergeCell ref="B10:H10"/>
    <mergeCell ref="D44:H44"/>
  </mergeCells>
  <dataValidations count="1">
    <dataValidation sqref="G27:G35" showDropDown="0" showInputMessage="0" showErrorMessage="0" allowBlank="0" type="list" errorStyle="stop" operator="between">
      <formula1>"Pending,Approved,Rejected"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8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37" min="1" max="1"/>
    <col width="10" customWidth="1" style="37" min="2" max="2"/>
    <col width="70" customWidth="1" style="37" min="3" max="3"/>
    <col width="20" customWidth="1" style="37" min="4" max="4"/>
    <col width="9" customWidth="1" style="37" min="5" max="5"/>
    <col width="38" customWidth="1" style="37" min="6" max="6"/>
    <col width="12" customWidth="1" style="37" min="7" max="7"/>
    <col width="10" customWidth="1" style="37" min="8" max="9"/>
  </cols>
  <sheetData>
    <row r="1" ht="17.35" customHeight="1" s="38">
      <c r="A1" s="39" t="inlineStr">
        <is>
          <t>MASTER SCHEDULE &amp; WBS 23/10 – 17/11/2026</t>
        </is>
      </c>
    </row>
    <row r="2" ht="15" customHeight="1" s="38">
      <c r="A2" s="40" t="inlineStr">
        <is>
          <t>Sprint 1 = pm/sprints/S1/sprint-backlog.md (14 tasks, 48 h); Sprint 2 = pm/sprints/S2/sprint-backlog.md (draft); Sprint 3 and closure = proposal. Tasks ≤ 1 person-day; 'Both' counted half per member. Status as of 30/10/2026.</t>
        </is>
      </c>
    </row>
    <row r="4" ht="23.85" customHeight="1" s="38">
      <c r="A4" s="45" t="inlineStr">
        <is>
          <t>WBS</t>
        </is>
      </c>
      <c r="B4" s="45" t="inlineStr">
        <is>
          <t>Phase</t>
        </is>
      </c>
      <c r="C4" s="45" t="inlineStr">
        <is>
          <t>Work package / task</t>
        </is>
      </c>
      <c r="D4" s="45" t="inlineStr">
        <is>
          <t>Owner</t>
        </is>
      </c>
      <c r="E4" s="45" t="inlineStr">
        <is>
          <t>Effort (h)</t>
        </is>
      </c>
      <c r="F4" s="45" t="inlineStr">
        <is>
          <t>Output / evidence</t>
        </is>
      </c>
      <c r="G4" s="45" t="inlineStr">
        <is>
          <t>Status</t>
        </is>
      </c>
      <c r="H4" s="45" t="inlineStr">
        <is>
          <t>Planned start</t>
        </is>
      </c>
      <c r="I4" s="45" t="inlineStr">
        <is>
          <t>Planned finish</t>
        </is>
      </c>
    </row>
    <row r="5" ht="51.75" customHeight="1" s="38">
      <c r="A5" s="49" t="inlineStr">
        <is>
          <t>1</t>
        </is>
      </c>
      <c r="B5" s="49" t="inlineStr">
        <is>
          <t>Sprint 1</t>
        </is>
      </c>
      <c r="C5" s="49" t="inlineStr">
        <is>
          <t>SPRINT 1 (Fri 23/10 – Thu 29/10) – Plan baseline &amp; F1  |  Leader: Hồ Du Tuấn Đạt</t>
        </is>
      </c>
      <c r="D5" s="49" t="n"/>
      <c r="E5" s="50">
        <f>SUMIFS(E6:E24,D6:D24,"&lt;&gt;")</f>
        <v/>
      </c>
      <c r="F5" s="49" t="inlineStr">
        <is>
          <t>Sprint Goal: users can register, log in and log out; an administrator can create and lock accounts; non-admins are blocked from admin functions on the server (F1 on the hosted URL).</t>
        </is>
      </c>
      <c r="G5" s="51">
        <f>IFERROR(SUMIFS(E6:E24,G6:G24,"Done",D6:D24,"&lt;&gt;")/E5,0)</f>
        <v/>
      </c>
      <c r="H5" s="52">
        <f>MIN(H6:H24)</f>
        <v/>
      </c>
      <c r="I5" s="52">
        <f>MAX(I6:I24)</f>
        <v/>
      </c>
    </row>
    <row r="6" ht="15" customHeight="1" s="38">
      <c r="A6" s="53" t="inlineStr">
        <is>
          <t>1.1</t>
        </is>
      </c>
      <c r="B6" s="53" t="inlineStr">
        <is>
          <t>Sprint 1</t>
        </is>
      </c>
      <c r="C6" s="53" t="inlineStr">
        <is>
          <t>Project management – PMP v1.0 baseline (S1_Backlog S1-T01…T05, T13, T14)</t>
        </is>
      </c>
      <c r="D6" s="53" t="n"/>
      <c r="E6" s="54">
        <f>SUMIFS(E7:E14,D7:D14,"&lt;&gt;")</f>
        <v/>
      </c>
      <c r="F6" s="53" t="n"/>
      <c r="G6" s="55">
        <f>IFERROR(SUMIFS(E7:E14,G7:G14,"Done",D7:D14,"&lt;&gt;")/E6,0)</f>
        <v/>
      </c>
      <c r="H6" s="56">
        <f>MIN(H7:H14)</f>
        <v/>
      </c>
      <c r="I6" s="56">
        <f>MAX(I7:I14)</f>
        <v/>
      </c>
    </row>
    <row r="7" ht="15" customHeight="1" s="38">
      <c r="A7" s="46" t="inlineStr">
        <is>
          <t>S1-T01</t>
        </is>
      </c>
      <c r="B7" s="46" t="inlineStr">
        <is>
          <t>Sprint 1</t>
        </is>
      </c>
      <c r="C7" s="46" t="inlineStr">
        <is>
          <t>Product Backlog v1.0 + Definition of Ready (GWT ACs)</t>
        </is>
      </c>
      <c r="D7" s="46" t="inlineStr">
        <is>
          <t>Nguyễn Minh Chính</t>
        </is>
      </c>
      <c r="E7" s="57" t="n">
        <v>4</v>
      </c>
      <c r="F7" s="46" t="inlineStr">
        <is>
          <t>pm/backlog/product-backlog.md</t>
        </is>
      </c>
      <c r="G7" s="48" t="inlineStr">
        <is>
          <t>In Progress</t>
        </is>
      </c>
      <c r="H7" s="58" t="n">
        <v>46318</v>
      </c>
      <c r="I7" s="58" t="n">
        <v>46321</v>
      </c>
    </row>
    <row r="8" ht="15" customHeight="1" s="38">
      <c r="A8" s="46" t="inlineStr">
        <is>
          <t>S1-T02</t>
        </is>
      </c>
      <c r="B8" s="46" t="inlineStr">
        <is>
          <t>Sprint 1</t>
        </is>
      </c>
      <c r="C8" s="46" t="inlineStr">
        <is>
          <t>Planning Poker session + Release Plan + BAC</t>
        </is>
      </c>
      <c r="D8" s="46" t="inlineStr">
        <is>
          <t>Nguyễn Minh Chính</t>
        </is>
      </c>
      <c r="E8" s="57" t="n">
        <v>2</v>
      </c>
      <c r="F8" s="46" t="inlineStr">
        <is>
          <t>Planning Poker log; this workbook</t>
        </is>
      </c>
      <c r="G8" s="48" t="inlineStr">
        <is>
          <t>In Progress</t>
        </is>
      </c>
      <c r="H8" s="58" t="n">
        <v>46321</v>
      </c>
      <c r="I8" s="58" t="n">
        <v>46322</v>
      </c>
    </row>
    <row r="9" ht="15" customHeight="1" s="38">
      <c r="A9" s="46" t="inlineStr">
        <is>
          <t>S1-T03</t>
        </is>
      </c>
      <c r="B9" s="46" t="inlineStr">
        <is>
          <t>Sprint 1</t>
        </is>
      </c>
      <c r="C9" s="46" t="inlineStr">
        <is>
          <t>PMP v1.0 parts 1, 3, 5, 6</t>
        </is>
      </c>
      <c r="D9" s="46" t="inlineStr">
        <is>
          <t>Hồ Du Tuấn Đạt</t>
        </is>
      </c>
      <c r="E9" s="57" t="n">
        <v>6</v>
      </c>
      <c r="F9" s="46" t="inlineStr">
        <is>
          <t>pm/pmp/01, 03, 05, 06</t>
        </is>
      </c>
      <c r="G9" s="48" t="inlineStr">
        <is>
          <t>In Progress</t>
        </is>
      </c>
      <c r="H9" s="58" t="n">
        <v>46319</v>
      </c>
      <c r="I9" s="58" t="n">
        <v>46323</v>
      </c>
    </row>
    <row r="10" ht="15" customHeight="1" s="38">
      <c r="A10" s="46" t="inlineStr">
        <is>
          <t>S1-T04</t>
        </is>
      </c>
      <c r="B10" s="46" t="inlineStr">
        <is>
          <t>Sprint 1</t>
        </is>
      </c>
      <c r="C10" s="46" t="inlineStr">
        <is>
          <t>PMP v1.0 parts 2, 4, 7</t>
        </is>
      </c>
      <c r="D10" s="46" t="inlineStr">
        <is>
          <t>Nguyễn Minh Chính</t>
        </is>
      </c>
      <c r="E10" s="57" t="n">
        <v>4</v>
      </c>
      <c r="F10" s="46" t="inlineStr">
        <is>
          <t>pm/pmp/02, 04, 07</t>
        </is>
      </c>
      <c r="G10" s="48" t="inlineStr">
        <is>
          <t>In Progress</t>
        </is>
      </c>
      <c r="H10" s="58" t="n">
        <v>46319</v>
      </c>
      <c r="I10" s="58" t="n">
        <v>46323</v>
      </c>
    </row>
    <row r="11" ht="15" customHeight="1" s="38">
      <c r="A11" s="46" t="inlineStr">
        <is>
          <t>◆</t>
        </is>
      </c>
      <c r="B11" s="46" t="inlineStr">
        <is>
          <t>Sprint 1</t>
        </is>
      </c>
      <c r="C11" s="46" t="inlineStr">
        <is>
          <t>◆ Tue 27/10 in class: Change Request CR-06 received</t>
        </is>
      </c>
      <c r="D11" s="46" t="inlineStr">
        <is>
          <t>Nguyễn Minh Chính</t>
        </is>
      </c>
      <c r="E11" s="57" t="n">
        <v>0</v>
      </c>
      <c r="F11" s="46" t="inlineStr">
        <is>
          <t>CR-06 form</t>
        </is>
      </c>
      <c r="G11" s="48" t="inlineStr">
        <is>
          <t>Done</t>
        </is>
      </c>
      <c r="H11" s="58" t="n">
        <v>46322</v>
      </c>
      <c r="I11" s="58" t="n">
        <v>46322</v>
      </c>
    </row>
    <row r="12" ht="15" customHeight="1" s="38">
      <c r="A12" s="46" t="inlineStr">
        <is>
          <t>S1-T05</t>
        </is>
      </c>
      <c r="B12" s="46" t="inlineStr">
        <is>
          <t>Sprint 1</t>
        </is>
      </c>
      <c r="C12" s="46" t="inlineStr">
        <is>
          <t>CR-06: Change Log entry + impact analysis + CCB options</t>
        </is>
      </c>
      <c r="D12" s="46" t="inlineStr">
        <is>
          <t>Nguyễn Minh Chính</t>
        </is>
      </c>
      <c r="E12" s="57" t="n">
        <v>3</v>
      </c>
      <c r="F12" s="46" t="inlineStr">
        <is>
          <t>pm/change/</t>
        </is>
      </c>
      <c r="G12" s="48" t="inlineStr">
        <is>
          <t>In Progress</t>
        </is>
      </c>
      <c r="H12" s="58" t="n">
        <v>46322</v>
      </c>
      <c r="I12" s="58" t="n">
        <v>46324</v>
      </c>
    </row>
    <row r="13" ht="15" customHeight="1" s="38">
      <c r="A13" s="46" t="inlineStr">
        <is>
          <t>S1-T13</t>
        </is>
      </c>
      <c r="B13" s="46" t="inlineStr">
        <is>
          <t>Sprint 1</t>
        </is>
      </c>
      <c r="C13" s="46" t="inlineStr">
        <is>
          <t>Workbook c2, Sprint Report c3, submission</t>
        </is>
      </c>
      <c r="D13" s="46" t="inlineStr">
        <is>
          <t>Hồ Du Tuấn Đạt</t>
        </is>
      </c>
      <c r="E13" s="57" t="n">
        <v>3</v>
      </c>
      <c r="F13" s="46" t="inlineStr">
        <is>
          <t>deliverables/S1/</t>
        </is>
      </c>
      <c r="G13" s="48" t="inlineStr">
        <is>
          <t>In Progress</t>
        </is>
      </c>
      <c r="H13" s="58" t="n">
        <v>46323</v>
      </c>
      <c r="I13" s="58" t="n">
        <v>46324</v>
      </c>
    </row>
    <row r="14" ht="15" customHeight="1" s="38">
      <c r="A14" s="46" t="inlineStr">
        <is>
          <t>S1-T14</t>
        </is>
      </c>
      <c r="B14" s="46" t="inlineStr">
        <is>
          <t>Sprint 1</t>
        </is>
      </c>
      <c r="C14" s="46" t="inlineStr">
        <is>
          <t>Review/Retro 1 preparation</t>
        </is>
      </c>
      <c r="D14" s="46" t="inlineStr">
        <is>
          <t>Hồ Du Tuấn Đạt</t>
        </is>
      </c>
      <c r="E14" s="57" t="n">
        <v>2</v>
      </c>
      <c r="F14" s="46" t="inlineStr">
        <is>
          <t>pm/sprints/S1/review-retro.md</t>
        </is>
      </c>
      <c r="G14" s="48" t="inlineStr">
        <is>
          <t>In Progress</t>
        </is>
      </c>
      <c r="H14" s="58" t="n">
        <v>46324</v>
      </c>
      <c r="I14" s="58" t="n">
        <v>46324</v>
      </c>
    </row>
    <row r="15" ht="15" customHeight="1" s="38">
      <c r="A15" s="53" t="inlineStr">
        <is>
          <t>1.2</t>
        </is>
      </c>
      <c r="B15" s="53" t="inlineStr">
        <is>
          <t>Sprint 1</t>
        </is>
      </c>
      <c r="C15" s="53" t="inlineStr">
        <is>
          <t>Development – F1 (S1_Backlog S1-T06…T11)</t>
        </is>
      </c>
      <c r="D15" s="53" t="n"/>
      <c r="E15" s="54">
        <f>SUMIFS(E16:E21,D16:D21,"&lt;&gt;")</f>
        <v/>
      </c>
      <c r="F15" s="53" t="n"/>
      <c r="G15" s="55">
        <f>IFERROR(SUMIFS(E16:E21,G16:G21,"Done",D16:D21,"&lt;&gt;")/E15,0)</f>
        <v/>
      </c>
      <c r="H15" s="56">
        <f>MIN(H16:H21)</f>
        <v/>
      </c>
      <c r="I15" s="56">
        <f>MAX(I16:I21)</f>
        <v/>
      </c>
    </row>
    <row r="16" ht="15" customHeight="1" s="38">
      <c r="A16" s="46" t="inlineStr">
        <is>
          <t>S1-T06</t>
        </is>
      </c>
      <c r="B16" s="46" t="inlineStr">
        <is>
          <t>Sprint 1</t>
        </is>
      </c>
      <c r="C16" s="46" t="inlineStr">
        <is>
          <t>Scaffold app, DB schema, deploy skeleton (NFR-03)</t>
        </is>
      </c>
      <c r="D16" s="46" t="inlineStr">
        <is>
          <t>Hồ Du Tuấn Đạt</t>
        </is>
      </c>
      <c r="E16" s="57" t="n">
        <v>4</v>
      </c>
      <c r="F16" s="46" t="inlineStr">
        <is>
          <t>app/; hosted URL</t>
        </is>
      </c>
      <c r="G16" s="48" t="inlineStr">
        <is>
          <t>In Progress</t>
        </is>
      </c>
      <c r="H16" s="58" t="n">
        <v>46318</v>
      </c>
      <c r="I16" s="58" t="n">
        <v>46319</v>
      </c>
    </row>
    <row r="17" ht="15" customHeight="1" s="38">
      <c r="A17" s="46" t="inlineStr">
        <is>
          <t>S1-T07</t>
        </is>
      </c>
      <c r="B17" s="46" t="inlineStr">
        <is>
          <t>Sprint 1</t>
        </is>
      </c>
      <c r="C17" s="46" t="inlineStr">
        <is>
          <t>US-01, NFR-01 Register: form, client + server validation, bcrypt</t>
        </is>
      </c>
      <c r="D17" s="46" t="inlineStr">
        <is>
          <t>Hồ Du Tuấn Đạt</t>
        </is>
      </c>
      <c r="E17" s="57" t="n">
        <v>4</v>
      </c>
      <c r="F17" s="46" t="inlineStr">
        <is>
          <t>Merged code + tests</t>
        </is>
      </c>
      <c r="G17" s="48" t="inlineStr">
        <is>
          <t>Done</t>
        </is>
      </c>
      <c r="H17" s="58" t="n">
        <v>46319</v>
      </c>
      <c r="I17" s="58" t="n">
        <v>46321</v>
      </c>
    </row>
    <row r="18" ht="15" customHeight="1" s="38">
      <c r="A18" s="46" t="inlineStr">
        <is>
          <t>S1-T08</t>
        </is>
      </c>
      <c r="B18" s="46" t="inlineStr">
        <is>
          <t>Sprint 1</t>
        </is>
      </c>
      <c r="C18" s="46" t="inlineStr">
        <is>
          <t>US-02 Log in / log out, sessions, locked-account check</t>
        </is>
      </c>
      <c r="D18" s="46" t="inlineStr">
        <is>
          <t>Hồ Du Tuấn Đạt</t>
        </is>
      </c>
      <c r="E18" s="57" t="n">
        <v>3</v>
      </c>
      <c r="F18" s="46" t="inlineStr">
        <is>
          <t>Merged code + tests</t>
        </is>
      </c>
      <c r="G18" s="48" t="inlineStr">
        <is>
          <t>Done</t>
        </is>
      </c>
      <c r="H18" s="58" t="n">
        <v>46321</v>
      </c>
      <c r="I18" s="58" t="n">
        <v>46322</v>
      </c>
    </row>
    <row r="19" ht="15" customHeight="1" s="38">
      <c r="A19" s="46" t="inlineStr">
        <is>
          <t>S1-T09</t>
        </is>
      </c>
      <c r="B19" s="46" t="inlineStr">
        <is>
          <t>Sprint 1</t>
        </is>
      </c>
      <c r="C19" s="46" t="inlineStr">
        <is>
          <t>US-03 Admin account list, create account with role, lock/unlock</t>
        </is>
      </c>
      <c r="D19" s="46" t="inlineStr">
        <is>
          <t>Nguyễn Minh Chính</t>
        </is>
      </c>
      <c r="E19" s="57" t="n">
        <v>5</v>
      </c>
      <c r="F19" s="46" t="inlineStr">
        <is>
          <t>Merged code + tests</t>
        </is>
      </c>
      <c r="G19" s="48" t="inlineStr">
        <is>
          <t>Done</t>
        </is>
      </c>
      <c r="H19" s="58" t="n">
        <v>46321</v>
      </c>
      <c r="I19" s="58" t="n">
        <v>46323</v>
      </c>
    </row>
    <row r="20" ht="15" customHeight="1" s="38">
      <c r="A20" s="46" t="inlineStr">
        <is>
          <t>S1-T10</t>
        </is>
      </c>
      <c r="B20" s="46" t="inlineStr">
        <is>
          <t>Sprint 1</t>
        </is>
      </c>
      <c r="C20" s="46" t="inlineStr">
        <is>
          <t>US-04 Server-side role guard, 403 page, hide admin menu</t>
        </is>
      </c>
      <c r="D20" s="46" t="inlineStr">
        <is>
          <t>Hồ Du Tuấn Đạt</t>
        </is>
      </c>
      <c r="E20" s="57" t="n">
        <v>2</v>
      </c>
      <c r="F20" s="46" t="inlineStr">
        <is>
          <t>Merged code + tests</t>
        </is>
      </c>
      <c r="G20" s="48" t="inlineStr">
        <is>
          <t>Done</t>
        </is>
      </c>
      <c r="H20" s="58" t="n">
        <v>46322</v>
      </c>
      <c r="I20" s="58" t="n">
        <v>46323</v>
      </c>
    </row>
    <row r="21" ht="15" customHeight="1" s="38">
      <c r="A21" s="46" t="inlineStr">
        <is>
          <t>S1-T11</t>
        </is>
      </c>
      <c r="B21" s="46" t="inlineStr">
        <is>
          <t>Sprint 1</t>
        </is>
      </c>
      <c r="C21" s="46" t="inlineStr">
        <is>
          <t>NFR-04 (base) Responsive base layout and styles</t>
        </is>
      </c>
      <c r="D21" s="46" t="inlineStr">
        <is>
          <t>Nguyễn Minh Chính</t>
        </is>
      </c>
      <c r="E21" s="57" t="n">
        <v>3</v>
      </c>
      <c r="F21" s="46" t="inlineStr">
        <is>
          <t>Merged code + screenshots</t>
        </is>
      </c>
      <c r="G21" s="48" t="inlineStr">
        <is>
          <t>Done</t>
        </is>
      </c>
      <c r="H21" s="58" t="n">
        <v>46322</v>
      </c>
      <c r="I21" s="58" t="n">
        <v>46323</v>
      </c>
    </row>
    <row r="22" ht="15" customHeight="1" s="38">
      <c r="A22" s="53" t="inlineStr">
        <is>
          <t>1.3</t>
        </is>
      </c>
      <c r="B22" s="53" t="inlineStr">
        <is>
          <t>Sprint 1</t>
        </is>
      </c>
      <c r="C22" s="53" t="inlineStr">
        <is>
          <t>Testing – F1 (S1_Backlog S1-T12)</t>
        </is>
      </c>
      <c r="D22" s="53" t="n"/>
      <c r="E22" s="54">
        <f>SUMIFS(E23:E23,D23:D23,"&lt;&gt;")</f>
        <v/>
      </c>
      <c r="F22" s="53" t="n"/>
      <c r="G22" s="55">
        <f>IFERROR(SUMIFS(E23:E23,G23:G23,"Done",D23:D23,"&lt;&gt;")/E22,0)</f>
        <v/>
      </c>
      <c r="H22" s="56">
        <f>MIN(H23:H23)</f>
        <v/>
      </c>
      <c r="I22" s="56">
        <f>MAX(I23:I23)</f>
        <v/>
      </c>
    </row>
    <row r="23" ht="15" customHeight="1" s="38">
      <c r="A23" s="46" t="inlineStr">
        <is>
          <t>S1-T12</t>
        </is>
      </c>
      <c r="B23" s="46" t="inlineStr">
        <is>
          <t>Sprint 1</t>
        </is>
      </c>
      <c r="C23" s="46" t="inlineStr">
        <is>
          <t>F1 test cases (24) + automated tests + run (manual run on hosted URL pending)</t>
        </is>
      </c>
      <c r="D23" s="46" t="inlineStr">
        <is>
          <t>Nguyễn Minh Chính</t>
        </is>
      </c>
      <c r="E23" s="57" t="n">
        <v>3</v>
      </c>
      <c r="F23" s="46" t="inlineStr">
        <is>
          <t>pm/sprints/S1/test-cases-F1.md</t>
        </is>
      </c>
      <c r="G23" s="48" t="inlineStr">
        <is>
          <t>In Progress</t>
        </is>
      </c>
      <c r="H23" s="58" t="n">
        <v>46323</v>
      </c>
      <c r="I23" s="58" t="n">
        <v>46324</v>
      </c>
    </row>
    <row r="24" ht="23.85" customHeight="1" s="38">
      <c r="A24" s="59" t="inlineStr">
        <is>
          <t>M3</t>
        </is>
      </c>
      <c r="B24" s="59" t="inlineStr">
        <is>
          <t>Sprint 1</t>
        </is>
      </c>
      <c r="C24" s="59" t="inlineStr">
        <is>
          <t>◆ SPRINT 1 SUBMISSION – 23:59 Thu 29/10</t>
        </is>
      </c>
      <c r="D24" s="59" t="inlineStr">
        <is>
          <t>Hồ Du Tuấn Đạt</t>
        </is>
      </c>
      <c r="E24" s="60" t="n">
        <v>0</v>
      </c>
      <c r="F24" s="59" t="inlineStr">
        <is>
          <t>Upload each file separately to E-learning; no zip</t>
        </is>
      </c>
      <c r="G24" s="59" t="n"/>
      <c r="H24" s="61" t="n">
        <v>46324</v>
      </c>
      <c r="I24" s="61" t="n">
        <v>46324</v>
      </c>
    </row>
    <row r="25" ht="51.75" customHeight="1" s="38">
      <c r="A25" s="49" t="inlineStr">
        <is>
          <t>2</t>
        </is>
      </c>
      <c r="B25" s="49" t="inlineStr">
        <is>
          <t>Sprint 2</t>
        </is>
      </c>
      <c r="C25" s="49" t="inlineStr">
        <is>
          <t>SPRINT 2 (Fri 30/10 – Thu 05/11) – Execution, monitoring &amp; change control  |  Leader: Nguyễn Minh Chính (PO)</t>
        </is>
      </c>
      <c r="D25" s="49" t="n"/>
      <c r="E25" s="50">
        <f>SUMIFS(E26:E53,D26:D53,"&lt;&gt;")</f>
        <v/>
      </c>
      <c r="F25" s="49" t="inlineStr">
        <is>
          <t>Sprint Goal (proposal): admins manage books (hide, price &gt; 0), categories and authors; customers browse a responsive grid of ≥ 30 books, 12 per page, newest first; if CR-06 is approved, Staff gets 403 on delete and account management.</t>
        </is>
      </c>
      <c r="G25" s="51">
        <f>IFERROR(SUMIFS(E26:E53,G26:G53,"Done",D26:D53,"&lt;&gt;")/E25,0)</f>
        <v/>
      </c>
      <c r="H25" s="52">
        <f>MIN(H26:H53)</f>
        <v/>
      </c>
      <c r="I25" s="52">
        <f>MAX(I26:I53)</f>
        <v/>
      </c>
    </row>
    <row r="26" ht="15" customHeight="1" s="38">
      <c r="A26" s="53" t="inlineStr">
        <is>
          <t>2.1</t>
        </is>
      </c>
      <c r="B26" s="53" t="inlineStr">
        <is>
          <t>Sprint 2</t>
        </is>
      </c>
      <c r="C26" s="53" t="inlineStr">
        <is>
          <t>Scrum events &amp; project management (S2_Backlog draft)</t>
        </is>
      </c>
      <c r="D26" s="53" t="n"/>
      <c r="E26" s="54">
        <f>SUMIFS(E27:E32,D27:D32,"&lt;&gt;")</f>
        <v/>
      </c>
      <c r="F26" s="53" t="n"/>
      <c r="G26" s="55">
        <f>IFERROR(SUMIFS(E27:E32,G27:G32,"Done",D27:D32,"&lt;&gt;")/E26,0)</f>
        <v/>
      </c>
      <c r="H26" s="56">
        <f>MIN(H27:H32)</f>
        <v/>
      </c>
      <c r="I26" s="56">
        <f>MAX(I27:I32)</f>
        <v/>
      </c>
    </row>
    <row r="27" ht="15" customHeight="1" s="38">
      <c r="A27" s="46" t="inlineStr">
        <is>
          <t>S2-T01</t>
        </is>
      </c>
      <c r="B27" s="46" t="inlineStr">
        <is>
          <t>Sprint 2</t>
        </is>
      </c>
      <c r="C27" s="46" t="inlineStr">
        <is>
          <t>Review &amp; Retro 1 (in class) + Sprint Planning 2 (≤ 45 min) → S2_Backlog → Jira</t>
        </is>
      </c>
      <c r="D27" s="46" t="inlineStr">
        <is>
          <t>Both</t>
        </is>
      </c>
      <c r="E27" s="57" t="n">
        <v>1.5</v>
      </c>
      <c r="F27" s="46" t="inlineStr">
        <is>
          <t>S2_Backlog; Jira Sprint 2</t>
        </is>
      </c>
      <c r="G27" s="48" t="inlineStr">
        <is>
          <t>To Do</t>
        </is>
      </c>
      <c r="H27" s="58" t="n">
        <v>46325</v>
      </c>
      <c r="I27" s="58" t="n">
        <v>46325</v>
      </c>
    </row>
    <row r="28" ht="15" customHeight="1" s="38">
      <c r="A28" s="46" t="inlineStr">
        <is>
          <t>S2-T02</t>
        </is>
      </c>
      <c r="B28" s="46" t="inlineStr">
        <is>
          <t>Sprint 2</t>
        </is>
      </c>
      <c r="C28" s="46" t="inlineStr">
        <is>
          <t>Daily Scrum S2 (≤ 10 min/day, logged) + daily board update</t>
        </is>
      </c>
      <c r="D28" s="46" t="inlineStr">
        <is>
          <t>Both</t>
        </is>
      </c>
      <c r="E28" s="57" t="n">
        <v>1</v>
      </c>
      <c r="F28" s="46" t="inlineStr">
        <is>
          <t>Daily log</t>
        </is>
      </c>
      <c r="G28" s="48" t="inlineStr">
        <is>
          <t>To Do</t>
        </is>
      </c>
      <c r="H28" s="58" t="n">
        <v>46325</v>
      </c>
      <c r="I28" s="58" t="n">
        <v>46331</v>
      </c>
    </row>
    <row r="29" ht="23.85" customHeight="1" s="38">
      <c r="A29" s="46" t="inlineStr">
        <is>
          <t>S2-T03</t>
        </is>
      </c>
      <c r="B29" s="46" t="inlineStr">
        <is>
          <t>Sprint 2</t>
        </is>
      </c>
      <c r="C29" s="46" t="inlineStr">
        <is>
          <t>CCB decision; rebaseline backlog, AC, Release Plan, risk register; tag baseline-v1.1 if approved</t>
        </is>
      </c>
      <c r="D29" s="46" t="inlineStr">
        <is>
          <t>Nguyễn Minh Chính</t>
        </is>
      </c>
      <c r="E29" s="57" t="n">
        <v>2</v>
      </c>
      <c r="F29" s="46" t="inlineStr">
        <is>
          <t>Rebaselined plan + tag</t>
        </is>
      </c>
      <c r="G29" s="48" t="inlineStr">
        <is>
          <t>To Do</t>
        </is>
      </c>
      <c r="H29" s="58" t="n">
        <v>46325</v>
      </c>
      <c r="I29" s="58" t="n">
        <v>46326</v>
      </c>
    </row>
    <row r="30" ht="15" customHeight="1" s="38">
      <c r="A30" s="46" t="inlineStr">
        <is>
          <t>S2-T04</t>
        </is>
      </c>
      <c r="B30" s="46" t="inlineStr">
        <is>
          <t>Sprint 2</t>
        </is>
      </c>
      <c r="C30" s="46" t="inlineStr">
        <is>
          <t>Weekly Status Report; risk register and issue log update</t>
        </is>
      </c>
      <c r="D30" s="46" t="inlineStr">
        <is>
          <t>Nguyễn Minh Chính</t>
        </is>
      </c>
      <c r="E30" s="57" t="n">
        <v>2</v>
      </c>
      <c r="F30" s="46" t="inlineStr">
        <is>
          <t>Status report</t>
        </is>
      </c>
      <c r="G30" s="48" t="inlineStr">
        <is>
          <t>To Do</t>
        </is>
      </c>
      <c r="H30" s="58" t="n">
        <v>46329</v>
      </c>
      <c r="I30" s="58" t="n">
        <v>46331</v>
      </c>
    </row>
    <row r="31" ht="15" customHeight="1" s="38">
      <c r="A31" s="46" t="inlineStr">
        <is>
          <t>S2-T05</t>
        </is>
      </c>
      <c r="B31" s="46" t="inlineStr">
        <is>
          <t>Sprint 2</t>
        </is>
      </c>
      <c r="C31" s="46" t="inlineStr">
        <is>
          <t>c4_ChangeRequest_CR01.docx</t>
        </is>
      </c>
      <c r="D31" s="46" t="inlineStr">
        <is>
          <t>Nguyễn Minh Chính</t>
        </is>
      </c>
      <c r="E31" s="57" t="n">
        <v>2</v>
      </c>
      <c r="F31" s="46" t="inlineStr">
        <is>
          <t>c4 form</t>
        </is>
      </c>
      <c r="G31" s="48" t="inlineStr">
        <is>
          <t>To Do</t>
        </is>
      </c>
      <c r="H31" s="58" t="n">
        <v>46328</v>
      </c>
      <c r="I31" s="58" t="n">
        <v>46331</v>
      </c>
    </row>
    <row r="32" ht="15" customHeight="1" s="38">
      <c r="A32" s="46" t="inlineStr">
        <is>
          <t>S2-T06</t>
        </is>
      </c>
      <c r="B32" s="46" t="inlineStr">
        <is>
          <t>Sprint 2</t>
        </is>
      </c>
      <c r="C32" s="46" t="inlineStr">
        <is>
          <t>c2_SprintBacklog_S2, c3_SprintReport_S2, c0_Eval_S2, upload</t>
        </is>
      </c>
      <c r="D32" s="46" t="inlineStr">
        <is>
          <t>Nguyễn Minh Chính</t>
        </is>
      </c>
      <c r="E32" s="57" t="n">
        <v>1.75</v>
      </c>
      <c r="F32" s="46" t="inlineStr">
        <is>
          <t>c2, c3, c0 – Sprint 2</t>
        </is>
      </c>
      <c r="G32" s="48" t="inlineStr">
        <is>
          <t>To Do</t>
        </is>
      </c>
      <c r="H32" s="58" t="n">
        <v>46330</v>
      </c>
      <c r="I32" s="58" t="n">
        <v>46331</v>
      </c>
    </row>
    <row r="33" ht="15" customHeight="1" s="38">
      <c r="A33" s="53" t="inlineStr">
        <is>
          <t>2.2</t>
        </is>
      </c>
      <c r="B33" s="53" t="inlineStr">
        <is>
          <t>Sprint 2</t>
        </is>
      </c>
      <c r="C33" s="53" t="inlineStr">
        <is>
          <t>Development – F2 and F3</t>
        </is>
      </c>
      <c r="D33" s="53" t="n"/>
      <c r="E33" s="54">
        <f>SUMIFS(E34:E42,D34:D42,"&lt;&gt;")</f>
        <v/>
      </c>
      <c r="F33" s="53" t="n"/>
      <c r="G33" s="55">
        <f>IFERROR(SUMIFS(E34:E42,G34:G42,"Done",D34:D42,"&lt;&gt;")/E33,0)</f>
        <v/>
      </c>
      <c r="H33" s="56">
        <f>MIN(H34:H42)</f>
        <v/>
      </c>
      <c r="I33" s="56">
        <f>MAX(I34:I42)</f>
        <v/>
      </c>
    </row>
    <row r="34" ht="15" customHeight="1" s="38">
      <c r="A34" s="46" t="inlineStr">
        <is>
          <t>S2-T07</t>
        </is>
      </c>
      <c r="B34" s="46" t="inlineStr">
        <is>
          <t>Sprint 2</t>
        </is>
      </c>
      <c r="C34" s="46" t="inlineStr">
        <is>
          <t>Data model: books, categories, authors, hidden flag; migration</t>
        </is>
      </c>
      <c r="D34" s="46" t="inlineStr">
        <is>
          <t>Hồ Du Tuấn Đạt</t>
        </is>
      </c>
      <c r="E34" s="57" t="n">
        <v>2</v>
      </c>
      <c r="F34" s="46" t="inlineStr">
        <is>
          <t>Merged code</t>
        </is>
      </c>
      <c r="G34" s="48" t="inlineStr">
        <is>
          <t>To Do</t>
        </is>
      </c>
      <c r="H34" s="58" t="n">
        <v>46326</v>
      </c>
      <c r="I34" s="58" t="n">
        <v>46326</v>
      </c>
    </row>
    <row r="35" ht="15" customHeight="1" s="38">
      <c r="A35" s="46" t="inlineStr">
        <is>
          <t>S2-T08</t>
        </is>
      </c>
      <c r="B35" s="46" t="inlineStr">
        <is>
          <t>Sprint 2</t>
        </is>
      </c>
      <c r="C35" s="46" t="inlineStr">
        <is>
          <t>US-08 Manage categories (screens + API + validation)</t>
        </is>
      </c>
      <c r="D35" s="46" t="inlineStr">
        <is>
          <t>Nguyễn Minh Chính</t>
        </is>
      </c>
      <c r="E35" s="57" t="n">
        <v>2</v>
      </c>
      <c r="F35" s="46" t="inlineStr">
        <is>
          <t>Reviewed PR</t>
        </is>
      </c>
      <c r="G35" s="48" t="inlineStr">
        <is>
          <t>To Do</t>
        </is>
      </c>
      <c r="H35" s="58" t="n">
        <v>46326</v>
      </c>
      <c r="I35" s="58" t="n">
        <v>46327</v>
      </c>
    </row>
    <row r="36" ht="15" customHeight="1" s="38">
      <c r="A36" s="46" t="inlineStr">
        <is>
          <t>S2-T09</t>
        </is>
      </c>
      <c r="B36" s="46" t="inlineStr">
        <is>
          <t>Sprint 2</t>
        </is>
      </c>
      <c r="C36" s="46" t="inlineStr">
        <is>
          <t>US-09 Manage authors (screens + API + validation)</t>
        </is>
      </c>
      <c r="D36" s="46" t="inlineStr">
        <is>
          <t>Nguyễn Minh Chính</t>
        </is>
      </c>
      <c r="E36" s="57" t="n">
        <v>2</v>
      </c>
      <c r="F36" s="46" t="inlineStr">
        <is>
          <t>Reviewed PR</t>
        </is>
      </c>
      <c r="G36" s="48" t="inlineStr">
        <is>
          <t>To Do</t>
        </is>
      </c>
      <c r="H36" s="58" t="n">
        <v>46327</v>
      </c>
      <c r="I36" s="58" t="n">
        <v>46328</v>
      </c>
    </row>
    <row r="37" ht="15" customHeight="1" s="38">
      <c r="A37" s="46" t="inlineStr">
        <is>
          <t>S2-T10</t>
        </is>
      </c>
      <c r="B37" s="46" t="inlineStr">
        <is>
          <t>Sprint 2</t>
        </is>
      </c>
      <c r="C37" s="46" t="inlineStr">
        <is>
          <t>US-05 Add book: form, cover image, price &gt; 0, client + server validation</t>
        </is>
      </c>
      <c r="D37" s="46" t="inlineStr">
        <is>
          <t>Hồ Du Tuấn Đạt</t>
        </is>
      </c>
      <c r="E37" s="57" t="n">
        <v>3</v>
      </c>
      <c r="F37" s="46" t="inlineStr">
        <is>
          <t>Reviewed PR</t>
        </is>
      </c>
      <c r="G37" s="48" t="inlineStr">
        <is>
          <t>To Do</t>
        </is>
      </c>
      <c r="H37" s="58" t="n">
        <v>46326</v>
      </c>
      <c r="I37" s="58" t="n">
        <v>46327</v>
      </c>
    </row>
    <row r="38" ht="15" customHeight="1" s="38">
      <c r="A38" s="46" t="inlineStr">
        <is>
          <t>S2-T11</t>
        </is>
      </c>
      <c r="B38" s="46" t="inlineStr">
        <is>
          <t>Sprint 2</t>
        </is>
      </c>
      <c r="C38" s="46" t="inlineStr">
        <is>
          <t>US-06 Edit book</t>
        </is>
      </c>
      <c r="D38" s="46" t="inlineStr">
        <is>
          <t>Hồ Du Tuấn Đạt</t>
        </is>
      </c>
      <c r="E38" s="57" t="n">
        <v>1.5</v>
      </c>
      <c r="F38" s="46" t="inlineStr">
        <is>
          <t>Reviewed PR</t>
        </is>
      </c>
      <c r="G38" s="48" t="inlineStr">
        <is>
          <t>To Do</t>
        </is>
      </c>
      <c r="H38" s="58" t="n">
        <v>46327</v>
      </c>
      <c r="I38" s="58" t="n">
        <v>46328</v>
      </c>
    </row>
    <row r="39" ht="15" customHeight="1" s="38">
      <c r="A39" s="46" t="inlineStr">
        <is>
          <t>S2-T12</t>
        </is>
      </c>
      <c r="B39" s="46" t="inlineStr">
        <is>
          <t>Sprint 2</t>
        </is>
      </c>
      <c r="C39" s="46" t="inlineStr">
        <is>
          <t>US-07 Hide book (soft delete)</t>
        </is>
      </c>
      <c r="D39" s="46" t="inlineStr">
        <is>
          <t>Hồ Du Tuấn Đạt</t>
        </is>
      </c>
      <c r="E39" s="57" t="n">
        <v>1</v>
      </c>
      <c r="F39" s="46" t="inlineStr">
        <is>
          <t>Reviewed PR</t>
        </is>
      </c>
      <c r="G39" s="48" t="inlineStr">
        <is>
          <t>To Do</t>
        </is>
      </c>
      <c r="H39" s="58" t="n">
        <v>46328</v>
      </c>
      <c r="I39" s="58" t="n">
        <v>46328</v>
      </c>
    </row>
    <row r="40" ht="15" customHeight="1" s="38">
      <c r="A40" s="46" t="inlineStr">
        <is>
          <t>S2-T13</t>
        </is>
      </c>
      <c r="B40" s="46" t="inlineStr">
        <is>
          <t>Sprint 2</t>
        </is>
      </c>
      <c r="C40" s="46" t="inlineStr">
        <is>
          <t>NFR-02 Seed ≥ 30 sample books</t>
        </is>
      </c>
      <c r="D40" s="46" t="inlineStr">
        <is>
          <t>Hồ Du Tuấn Đạt</t>
        </is>
      </c>
      <c r="E40" s="57" t="n">
        <v>1.5</v>
      </c>
      <c r="F40" s="46" t="inlineStr">
        <is>
          <t>Seed script</t>
        </is>
      </c>
      <c r="G40" s="48" t="inlineStr">
        <is>
          <t>To Do</t>
        </is>
      </c>
      <c r="H40" s="58" t="n">
        <v>46328</v>
      </c>
      <c r="I40" s="58" t="n">
        <v>46329</v>
      </c>
    </row>
    <row r="41" ht="15" customHeight="1" s="38">
      <c r="A41" s="46" t="inlineStr">
        <is>
          <t>S2-T14</t>
        </is>
      </c>
      <c r="B41" s="46" t="inlineStr">
        <is>
          <t>Sprint 2</t>
        </is>
      </c>
      <c r="C41" s="46" t="inlineStr">
        <is>
          <t>US-10 Book grid: cover, title, author, price; 12 per page; newest first</t>
        </is>
      </c>
      <c r="D41" s="46" t="inlineStr">
        <is>
          <t>Nguyễn Minh Chính</t>
        </is>
      </c>
      <c r="E41" s="57" t="n">
        <v>3</v>
      </c>
      <c r="F41" s="46" t="inlineStr">
        <is>
          <t>Reviewed PR</t>
        </is>
      </c>
      <c r="G41" s="48" t="inlineStr">
        <is>
          <t>To Do</t>
        </is>
      </c>
      <c r="H41" s="58" t="n">
        <v>46328</v>
      </c>
      <c r="I41" s="58" t="n">
        <v>46329</v>
      </c>
    </row>
    <row r="42" ht="15" customHeight="1" s="38">
      <c r="A42" s="46" t="inlineStr">
        <is>
          <t>S2-T15</t>
        </is>
      </c>
      <c r="B42" s="46" t="inlineStr">
        <is>
          <t>Sprint 2</t>
        </is>
      </c>
      <c r="C42" s="46" t="inlineStr">
        <is>
          <t>NFR-04 Responsive check of new pages (360 / 768 / 1280 px)</t>
        </is>
      </c>
      <c r="D42" s="46" t="inlineStr">
        <is>
          <t>Nguyễn Minh Chính</t>
        </is>
      </c>
      <c r="E42" s="57" t="n">
        <v>1</v>
      </c>
      <c r="F42" s="46" t="inlineStr">
        <is>
          <t>Screenshots</t>
        </is>
      </c>
      <c r="G42" s="48" t="inlineStr">
        <is>
          <t>To Do</t>
        </is>
      </c>
      <c r="H42" s="58" t="n">
        <v>46330</v>
      </c>
      <c r="I42" s="58" t="n">
        <v>46330</v>
      </c>
    </row>
    <row r="43" ht="15" customHeight="1" s="38">
      <c r="A43" s="53" t="inlineStr">
        <is>
          <t>2.3</t>
        </is>
      </c>
      <c r="B43" s="53" t="inlineStr">
        <is>
          <t>Sprint 2</t>
        </is>
      </c>
      <c r="C43" s="53" t="inlineStr">
        <is>
          <t>CR-06 Option B – Sprint 2 part (only if the CCB approves)</t>
        </is>
      </c>
      <c r="D43" s="53" t="n"/>
      <c r="E43" s="54">
        <f>SUMIFS(E44:E49,D44:D49,"&lt;&gt;")</f>
        <v/>
      </c>
      <c r="F43" s="53" t="n"/>
      <c r="G43" s="55">
        <f>IFERROR(SUMIFS(E44:E49,G44:G49,"Done",D44:D49,"&lt;&gt;")/E43,0)</f>
        <v/>
      </c>
      <c r="H43" s="56">
        <f>MIN(H44:H49)</f>
        <v/>
      </c>
      <c r="I43" s="56">
        <f>MAX(I44:I49)</f>
        <v/>
      </c>
    </row>
    <row r="44" ht="15" customHeight="1" s="38">
      <c r="A44" s="46" t="inlineStr">
        <is>
          <t>S2-T16</t>
        </is>
      </c>
      <c r="B44" s="46" t="inlineStr">
        <is>
          <t>Sprint 2</t>
        </is>
      </c>
      <c r="C44" s="46" t="inlineStr">
        <is>
          <t>C1 staff role + migration, audit columns (US-24)</t>
        </is>
      </c>
      <c r="D44" s="46" t="inlineStr">
        <is>
          <t>Hồ Du Tuấn Đạt</t>
        </is>
      </c>
      <c r="E44" s="57" t="n">
        <v>1</v>
      </c>
      <c r="F44" s="46" t="inlineStr">
        <is>
          <t>Reviewed PR</t>
        </is>
      </c>
      <c r="G44" s="48" t="inlineStr">
        <is>
          <t>To Do</t>
        </is>
      </c>
      <c r="H44" s="58" t="n">
        <v>46326</v>
      </c>
      <c r="I44" s="58" t="n">
        <v>46326</v>
      </c>
    </row>
    <row r="45" ht="15" customHeight="1" s="38">
      <c r="A45" s="46" t="inlineStr">
        <is>
          <t>S2-T17</t>
        </is>
      </c>
      <c r="B45" s="46" t="inlineStr">
        <is>
          <t>Sprint 2</t>
        </is>
      </c>
      <c r="C45" s="46" t="inlineStr">
        <is>
          <t>C2 permission matrix on the server – 403 on delete and account management (US-24)</t>
        </is>
      </c>
      <c r="D45" s="46" t="inlineStr">
        <is>
          <t>Hồ Du Tuấn Đạt</t>
        </is>
      </c>
      <c r="E45" s="57" t="n">
        <v>2</v>
      </c>
      <c r="F45" s="46" t="inlineStr">
        <is>
          <t>Reviewed PR</t>
        </is>
      </c>
      <c r="G45" s="48" t="inlineStr">
        <is>
          <t>To Do</t>
        </is>
      </c>
      <c r="H45" s="58" t="n">
        <v>46327</v>
      </c>
      <c r="I45" s="58" t="n">
        <v>46328</v>
      </c>
    </row>
    <row r="46" ht="15" customHeight="1" s="38">
      <c r="A46" s="46" t="inlineStr">
        <is>
          <t>S2-T18</t>
        </is>
      </c>
      <c r="B46" s="46" t="inlineStr">
        <is>
          <t>Sprint 2</t>
        </is>
      </c>
      <c r="C46" s="46" t="inlineStr">
        <is>
          <t>C3 Admin assigns/changes role incl. Staff (US-03 rework)</t>
        </is>
      </c>
      <c r="D46" s="46" t="inlineStr">
        <is>
          <t>Hồ Du Tuấn Đạt</t>
        </is>
      </c>
      <c r="E46" s="57" t="n">
        <v>1.5</v>
      </c>
      <c r="F46" s="46" t="inlineStr">
        <is>
          <t>Reviewed PR</t>
        </is>
      </c>
      <c r="G46" s="48" t="inlineStr">
        <is>
          <t>To Do</t>
        </is>
      </c>
      <c r="H46" s="58" t="n">
        <v>46328</v>
      </c>
      <c r="I46" s="58" t="n">
        <v>46329</v>
      </c>
    </row>
    <row r="47" ht="15" customHeight="1" s="38">
      <c r="A47" s="46" t="inlineStr">
        <is>
          <t>S2-T19</t>
        </is>
      </c>
      <c r="B47" s="46" t="inlineStr">
        <is>
          <t>Sprint 2</t>
        </is>
      </c>
      <c r="C47" s="46" t="inlineStr">
        <is>
          <t>C4 Staff access to book/category/author screens; hide Delete (US-24)</t>
        </is>
      </c>
      <c r="D47" s="46" t="inlineStr">
        <is>
          <t>Hồ Du Tuấn Đạt</t>
        </is>
      </c>
      <c r="E47" s="57" t="n">
        <v>2</v>
      </c>
      <c r="F47" s="46" t="inlineStr">
        <is>
          <t>Reviewed PR</t>
        </is>
      </c>
      <c r="G47" s="48" t="inlineStr">
        <is>
          <t>To Do</t>
        </is>
      </c>
      <c r="H47" s="58" t="n">
        <v>46329</v>
      </c>
      <c r="I47" s="58" t="n">
        <v>46330</v>
      </c>
    </row>
    <row r="48" ht="15" customHeight="1" s="38">
      <c r="A48" s="46" t="inlineStr">
        <is>
          <t>S2-T20</t>
        </is>
      </c>
      <c r="B48" s="46" t="inlineStr">
        <is>
          <t>Sprint 2</t>
        </is>
      </c>
      <c r="C48" s="46" t="inlineStr">
        <is>
          <t>C6 (part) CR test cases + F1 regression</t>
        </is>
      </c>
      <c r="D48" s="46" t="inlineStr">
        <is>
          <t>Hồ Du Tuấn Đạt</t>
        </is>
      </c>
      <c r="E48" s="57" t="n">
        <v>1</v>
      </c>
      <c r="F48" s="46" t="inlineStr">
        <is>
          <t>Test results</t>
        </is>
      </c>
      <c r="G48" s="48" t="inlineStr">
        <is>
          <t>To Do</t>
        </is>
      </c>
      <c r="H48" s="58" t="n">
        <v>46330</v>
      </c>
      <c r="I48" s="58" t="n">
        <v>46331</v>
      </c>
    </row>
    <row r="49" ht="15" customHeight="1" s="38">
      <c r="A49" s="46" t="inlineStr">
        <is>
          <t>S2-T21</t>
        </is>
      </c>
      <c r="B49" s="46" t="inlineStr">
        <is>
          <t>Sprint 2</t>
        </is>
      </c>
      <c r="C49" s="46" t="inlineStr">
        <is>
          <t>C7 CR documentation in the baseline</t>
        </is>
      </c>
      <c r="D49" s="46" t="inlineStr">
        <is>
          <t>Nguyễn Minh Chính</t>
        </is>
      </c>
      <c r="E49" s="57" t="n">
        <v>1</v>
      </c>
      <c r="F49" s="46" t="inlineStr">
        <is>
          <t>Updated docs</t>
        </is>
      </c>
      <c r="G49" s="48" t="inlineStr">
        <is>
          <t>To Do</t>
        </is>
      </c>
      <c r="H49" s="58" t="n">
        <v>46330</v>
      </c>
      <c r="I49" s="58" t="n">
        <v>46331</v>
      </c>
    </row>
    <row r="50" ht="15" customHeight="1" s="38">
      <c r="A50" s="53" t="inlineStr">
        <is>
          <t>2.4</t>
        </is>
      </c>
      <c r="B50" s="53" t="inlineStr">
        <is>
          <t>Sprint 2</t>
        </is>
      </c>
      <c r="C50" s="53" t="inlineStr">
        <is>
          <t>Testing – F2 and F3</t>
        </is>
      </c>
      <c r="D50" s="53" t="n"/>
      <c r="E50" s="54">
        <f>SUMIFS(E51:E52,D51:D52,"&lt;&gt;")</f>
        <v/>
      </c>
      <c r="F50" s="53" t="n"/>
      <c r="G50" s="55">
        <f>IFERROR(SUMIFS(E51:E52,G51:G52,"Done",D51:D52,"&lt;&gt;")/E50,0)</f>
        <v/>
      </c>
      <c r="H50" s="56">
        <f>MIN(H51:H52)</f>
        <v/>
      </c>
      <c r="I50" s="56">
        <f>MAX(I51:I52)</f>
        <v/>
      </c>
    </row>
    <row r="51" ht="15" customHeight="1" s="38">
      <c r="A51" s="46" t="inlineStr">
        <is>
          <t>S2-T22</t>
        </is>
      </c>
      <c r="B51" s="46" t="inlineStr">
        <is>
          <t>Sprint 2</t>
        </is>
      </c>
      <c r="C51" s="46" t="inlineStr">
        <is>
          <t>F2/F3 test cases from AC (≥ 1 per AC)</t>
        </is>
      </c>
      <c r="D51" s="46" t="inlineStr">
        <is>
          <t>Nguyễn Minh Chính</t>
        </is>
      </c>
      <c r="E51" s="57" t="n">
        <v>2</v>
      </c>
      <c r="F51" s="46" t="inlineStr">
        <is>
          <t>Test cases F2, F3</t>
        </is>
      </c>
      <c r="G51" s="48" t="inlineStr">
        <is>
          <t>To Do</t>
        </is>
      </c>
      <c r="H51" s="58" t="n">
        <v>46328</v>
      </c>
      <c r="I51" s="58" t="n">
        <v>46330</v>
      </c>
    </row>
    <row r="52" ht="15" customHeight="1" s="38">
      <c r="A52" s="46" t="inlineStr">
        <is>
          <t>S2-T23</t>
        </is>
      </c>
      <c r="B52" s="46" t="inlineStr">
        <is>
          <t>Sprint 2</t>
        </is>
      </c>
      <c r="C52" s="46" t="inlineStr">
        <is>
          <t>Run F2/F3 test cases on the hosted URL + F1 regression; record results and defects</t>
        </is>
      </c>
      <c r="D52" s="46" t="inlineStr">
        <is>
          <t>Hồ Du Tuấn Đạt</t>
        </is>
      </c>
      <c r="E52" s="57" t="n">
        <v>2</v>
      </c>
      <c r="F52" s="46" t="inlineStr">
        <is>
          <t>Test results</t>
        </is>
      </c>
      <c r="G52" s="48" t="inlineStr">
        <is>
          <t>To Do</t>
        </is>
      </c>
      <c r="H52" s="58" t="n">
        <v>46330</v>
      </c>
      <c r="I52" s="58" t="n">
        <v>46331</v>
      </c>
    </row>
    <row r="53" ht="23.85" customHeight="1" s="38">
      <c r="A53" s="59" t="inlineStr">
        <is>
          <t>M5</t>
        </is>
      </c>
      <c r="B53" s="59" t="inlineStr">
        <is>
          <t>Sprint 2</t>
        </is>
      </c>
      <c r="C53" s="59" t="inlineStr">
        <is>
          <t>◆ SPRINT 2 SUBMISSION – 23:59 Thu 05/11</t>
        </is>
      </c>
      <c r="D53" s="59" t="inlineStr">
        <is>
          <t>Nguyễn Minh Chính</t>
        </is>
      </c>
      <c r="E53" s="60" t="n">
        <v>0</v>
      </c>
      <c r="F53" s="59" t="inlineStr">
        <is>
          <t>Upload each file separately to E-learning; no zip</t>
        </is>
      </c>
      <c r="G53" s="59" t="n"/>
      <c r="H53" s="61" t="n">
        <v>46331</v>
      </c>
      <c r="I53" s="61" t="n">
        <v>46331</v>
      </c>
    </row>
    <row r="54" ht="51.75" customHeight="1" s="38">
      <c r="A54" s="49" t="inlineStr">
        <is>
          <t>3</t>
        </is>
      </c>
      <c r="B54" s="49" t="inlineStr">
        <is>
          <t>Sprint 3</t>
        </is>
      </c>
      <c r="C54" s="49" t="inlineStr">
        <is>
          <t>SPRINT 3 (Fri 06/11 – Thu 12/11) – Complete Release 1.0 &amp; acceptance  |  Leader: Hồ Du Tuấn Đạt</t>
        </is>
      </c>
      <c r="D54" s="49" t="n"/>
      <c r="E54" s="50">
        <f>SUMIFS(E55:E73,D55:D73,"&lt;&gt;")</f>
        <v/>
      </c>
      <c r="F54" s="49" t="inlineStr">
        <is>
          <t>Sprint Goal (proposal): customers open book details and search/filter by title, author, category and price range together with pagination; F1–F3 pass regression; v1.0 tagged and ready for UAT.</t>
        </is>
      </c>
      <c r="G54" s="51">
        <f>IFERROR(SUMIFS(E55:E73,G55:G73,"Done",D55:D73,"&lt;&gt;")/E54,0)</f>
        <v/>
      </c>
      <c r="H54" s="52">
        <f>MIN(H55:H73)</f>
        <v/>
      </c>
      <c r="I54" s="52">
        <f>MAX(I55:I73)</f>
        <v/>
      </c>
    </row>
    <row r="55" ht="15" customHeight="1" s="38">
      <c r="A55" s="53" t="inlineStr">
        <is>
          <t>3.1</t>
        </is>
      </c>
      <c r="B55" s="53" t="inlineStr">
        <is>
          <t>Sprint 3</t>
        </is>
      </c>
      <c r="C55" s="53" t="inlineStr">
        <is>
          <t>Scrum events &amp; release</t>
        </is>
      </c>
      <c r="D55" s="53" t="n"/>
      <c r="E55" s="54">
        <f>SUMIFS(E56:E61,D56:D61,"&lt;&gt;")</f>
        <v/>
      </c>
      <c r="F55" s="53" t="n"/>
      <c r="G55" s="55">
        <f>IFERROR(SUMIFS(E56:E61,G56:G61,"Done",D56:D61,"&lt;&gt;")/E55,0)</f>
        <v/>
      </c>
      <c r="H55" s="56">
        <f>MIN(H56:H61)</f>
        <v/>
      </c>
      <c r="I55" s="56">
        <f>MAX(I56:I61)</f>
        <v/>
      </c>
    </row>
    <row r="56" ht="15" customHeight="1" s="38">
      <c r="A56" s="46" t="inlineStr">
        <is>
          <t>S3-T01</t>
        </is>
      </c>
      <c r="B56" s="46" t="inlineStr">
        <is>
          <t>Sprint 3</t>
        </is>
      </c>
      <c r="C56" s="46" t="inlineStr">
        <is>
          <t>Review &amp; Retro 2 (in class) + Sprint Planning 3 with actual S2 velocity</t>
        </is>
      </c>
      <c r="D56" s="46" t="inlineStr">
        <is>
          <t>Both</t>
        </is>
      </c>
      <c r="E56" s="57" t="n">
        <v>1.5</v>
      </c>
      <c r="F56" s="46" t="inlineStr">
        <is>
          <t>S3_Backlog; Jira Sprint 3</t>
        </is>
      </c>
      <c r="G56" s="48" t="inlineStr">
        <is>
          <t>To Do</t>
        </is>
      </c>
      <c r="H56" s="58" t="n">
        <v>46332</v>
      </c>
      <c r="I56" s="58" t="n">
        <v>46332</v>
      </c>
    </row>
    <row r="57" ht="15" customHeight="1" s="38">
      <c r="A57" s="46" t="inlineStr">
        <is>
          <t>S3-T02</t>
        </is>
      </c>
      <c r="B57" s="46" t="inlineStr">
        <is>
          <t>Sprint 3</t>
        </is>
      </c>
      <c r="C57" s="46" t="inlineStr">
        <is>
          <t>Daily Scrum S3 + daily board update</t>
        </is>
      </c>
      <c r="D57" s="46" t="inlineStr">
        <is>
          <t>Both</t>
        </is>
      </c>
      <c r="E57" s="57" t="n">
        <v>1</v>
      </c>
      <c r="F57" s="46" t="inlineStr">
        <is>
          <t>Daily log</t>
        </is>
      </c>
      <c r="G57" s="48" t="inlineStr">
        <is>
          <t>To Do</t>
        </is>
      </c>
      <c r="H57" s="58" t="n">
        <v>46332</v>
      </c>
      <c r="I57" s="58" t="n">
        <v>46338</v>
      </c>
    </row>
    <row r="58" ht="15" customHeight="1" s="38">
      <c r="A58" s="46" t="inlineStr">
        <is>
          <t>S3-T11</t>
        </is>
      </c>
      <c r="B58" s="46" t="inlineStr">
        <is>
          <t>Sprint 3</t>
        </is>
      </c>
      <c r="C58" s="46" t="inlineStr">
        <is>
          <t>UAT script mapped to every AC (incl. CR-06 if approved)</t>
        </is>
      </c>
      <c r="D58" s="46" t="inlineStr">
        <is>
          <t>Nguyễn Minh Chính</t>
        </is>
      </c>
      <c r="E58" s="57" t="n">
        <v>3</v>
      </c>
      <c r="F58" s="46" t="inlineStr">
        <is>
          <t>pm/uat/uat-script.md</t>
        </is>
      </c>
      <c r="G58" s="48" t="inlineStr">
        <is>
          <t>To Do</t>
        </is>
      </c>
      <c r="H58" s="58" t="n">
        <v>46335</v>
      </c>
      <c r="I58" s="58" t="n">
        <v>46338</v>
      </c>
    </row>
    <row r="59" ht="15" customHeight="1" s="38">
      <c r="A59" s="46" t="inlineStr">
        <is>
          <t>S3-T12</t>
        </is>
      </c>
      <c r="B59" s="46" t="inlineStr">
        <is>
          <t>Sprint 3</t>
        </is>
      </c>
      <c r="C59" s="46" t="inlineStr">
        <is>
          <t>Release v1.0: PR develop → main, tag v1.0, release notes</t>
        </is>
      </c>
      <c r="D59" s="46" t="inlineStr">
        <is>
          <t>Hồ Du Tuấn Đạt</t>
        </is>
      </c>
      <c r="E59" s="57" t="n">
        <v>1.5</v>
      </c>
      <c r="F59" s="46" t="inlineStr">
        <is>
          <t>Tag v1.0; release notes</t>
        </is>
      </c>
      <c r="G59" s="48" t="inlineStr">
        <is>
          <t>To Do</t>
        </is>
      </c>
      <c r="H59" s="58" t="n">
        <v>46337</v>
      </c>
      <c r="I59" s="58" t="n">
        <v>46338</v>
      </c>
    </row>
    <row r="60" ht="15" customHeight="1" s="38">
      <c r="A60" s="46" t="inlineStr">
        <is>
          <t>S3-T13</t>
        </is>
      </c>
      <c r="B60" s="46" t="inlineStr">
        <is>
          <t>Sprint 3</t>
        </is>
      </c>
      <c r="C60" s="46" t="inlineStr">
        <is>
          <t>EVM draft (PV, EV, AC, SV, CV, SPI, CPI, EAC, ETC) from Jira hours</t>
        </is>
      </c>
      <c r="D60" s="46" t="inlineStr">
        <is>
          <t>Nguyễn Minh Chính</t>
        </is>
      </c>
      <c r="E60" s="57" t="n">
        <v>1.5</v>
      </c>
      <c r="F60" s="46" t="inlineStr">
        <is>
          <t>EVM sheet (draft)</t>
        </is>
      </c>
      <c r="G60" s="48" t="inlineStr">
        <is>
          <t>To Do</t>
        </is>
      </c>
      <c r="H60" s="58" t="n">
        <v>46336</v>
      </c>
      <c r="I60" s="58" t="n">
        <v>46338</v>
      </c>
    </row>
    <row r="61" ht="15" customHeight="1" s="38">
      <c r="A61" s="46" t="inlineStr">
        <is>
          <t>S3-T14</t>
        </is>
      </c>
      <c r="B61" s="46" t="inlineStr">
        <is>
          <t>Sprint 3</t>
        </is>
      </c>
      <c r="C61" s="46" t="inlineStr">
        <is>
          <t>c2_SprintBacklog_S3, c3_SprintReport_S3, c5_UAT, c0_Eval_S3, upload</t>
        </is>
      </c>
      <c r="D61" s="46" t="inlineStr">
        <is>
          <t>Hồ Du Tuấn Đạt</t>
        </is>
      </c>
      <c r="E61" s="57" t="n">
        <v>2</v>
      </c>
      <c r="F61" s="46" t="inlineStr">
        <is>
          <t>c2, c3, c5, c0 – Sprint 3</t>
        </is>
      </c>
      <c r="G61" s="48" t="inlineStr">
        <is>
          <t>To Do</t>
        </is>
      </c>
      <c r="H61" s="58" t="n">
        <v>46337</v>
      </c>
      <c r="I61" s="58" t="n">
        <v>46338</v>
      </c>
    </row>
    <row r="62" ht="15" customHeight="1" s="38">
      <c r="A62" s="53" t="inlineStr">
        <is>
          <t>3.2</t>
        </is>
      </c>
      <c r="B62" s="53" t="inlineStr">
        <is>
          <t>Sprint 3</t>
        </is>
      </c>
      <c r="C62" s="53" t="inlineStr">
        <is>
          <t>Development – F4 and F5 (+ CR-06 Option B, Sprint 3 part)</t>
        </is>
      </c>
      <c r="D62" s="53" t="n"/>
      <c r="E62" s="54">
        <f>SUMIFS(E63:E68,D63:D68,"&lt;&gt;")</f>
        <v/>
      </c>
      <c r="F62" s="53" t="n"/>
      <c r="G62" s="55">
        <f>IFERROR(SUMIFS(E63:E68,G63:G68,"Done",D63:D68,"&lt;&gt;")/E62,0)</f>
        <v/>
      </c>
      <c r="H62" s="56">
        <f>MIN(H63:H68)</f>
        <v/>
      </c>
      <c r="I62" s="56">
        <f>MAX(I63:I68)</f>
        <v/>
      </c>
    </row>
    <row r="63" ht="23.85" customHeight="1" s="38">
      <c r="A63" s="46" t="inlineStr">
        <is>
          <t>S3-T03</t>
        </is>
      </c>
      <c r="B63" s="46" t="inlineStr">
        <is>
          <t>Sprint 3</t>
        </is>
      </c>
      <c r="C63" s="46" t="inlineStr">
        <is>
          <t>US-11 Book details page; unknown ID → friendly message; Back returns to the same list page</t>
        </is>
      </c>
      <c r="D63" s="46" t="inlineStr">
        <is>
          <t>Nguyễn Minh Chính</t>
        </is>
      </c>
      <c r="E63" s="57" t="n">
        <v>4</v>
      </c>
      <c r="F63" s="46" t="inlineStr">
        <is>
          <t>Reviewed PR</t>
        </is>
      </c>
      <c r="G63" s="48" t="inlineStr">
        <is>
          <t>To Do</t>
        </is>
      </c>
      <c r="H63" s="58" t="n">
        <v>46333</v>
      </c>
      <c r="I63" s="58" t="n">
        <v>46335</v>
      </c>
    </row>
    <row r="64" ht="15" customHeight="1" s="38">
      <c r="A64" s="46" t="inlineStr">
        <is>
          <t>S3-T04</t>
        </is>
      </c>
      <c r="B64" s="46" t="inlineStr">
        <is>
          <t>Sprint 3</t>
        </is>
      </c>
      <c r="C64" s="46" t="inlineStr">
        <is>
          <t>US-12 Search by title or author</t>
        </is>
      </c>
      <c r="D64" s="46" t="inlineStr">
        <is>
          <t>Hồ Du Tuấn Đạt</t>
        </is>
      </c>
      <c r="E64" s="57" t="n">
        <v>3</v>
      </c>
      <c r="F64" s="46" t="inlineStr">
        <is>
          <t>Reviewed PR</t>
        </is>
      </c>
      <c r="G64" s="48" t="inlineStr">
        <is>
          <t>To Do</t>
        </is>
      </c>
      <c r="H64" s="58" t="n">
        <v>46333</v>
      </c>
      <c r="I64" s="58" t="n">
        <v>46334</v>
      </c>
    </row>
    <row r="65" ht="15" customHeight="1" s="38">
      <c r="A65" s="46" t="inlineStr">
        <is>
          <t>S3-T05</t>
        </is>
      </c>
      <c r="B65" s="46" t="inlineStr">
        <is>
          <t>Sprint 3</t>
        </is>
      </c>
      <c r="C65" s="46" t="inlineStr">
        <is>
          <t>US-13 Filter by category and price range, combined with search and pagination</t>
        </is>
      </c>
      <c r="D65" s="46" t="inlineStr">
        <is>
          <t>Hồ Du Tuấn Đạt</t>
        </is>
      </c>
      <c r="E65" s="57" t="n">
        <v>4</v>
      </c>
      <c r="F65" s="46" t="inlineStr">
        <is>
          <t>Reviewed PR</t>
        </is>
      </c>
      <c r="G65" s="48" t="inlineStr">
        <is>
          <t>To Do</t>
        </is>
      </c>
      <c r="H65" s="58" t="n">
        <v>46334</v>
      </c>
      <c r="I65" s="58" t="n">
        <v>46336</v>
      </c>
    </row>
    <row r="66" ht="15" customHeight="1" s="38">
      <c r="A66" s="46" t="inlineStr">
        <is>
          <t>S3-T06</t>
        </is>
      </c>
      <c r="B66" s="46" t="inlineStr">
        <is>
          <t>Sprint 3</t>
        </is>
      </c>
      <c r="C66" s="46" t="inlineStr">
        <is>
          <t>NFR-05 Measure list load &lt; 2 s with ≥ 30 books; fix if needed</t>
        </is>
      </c>
      <c r="D66" s="46" t="inlineStr">
        <is>
          <t>Hồ Du Tuấn Đạt</t>
        </is>
      </c>
      <c r="E66" s="57" t="n">
        <v>2</v>
      </c>
      <c r="F66" s="46" t="inlineStr">
        <is>
          <t>Timing evidence</t>
        </is>
      </c>
      <c r="G66" s="48" t="inlineStr">
        <is>
          <t>To Do</t>
        </is>
      </c>
      <c r="H66" s="58" t="n">
        <v>46336</v>
      </c>
      <c r="I66" s="58" t="n">
        <v>46337</v>
      </c>
    </row>
    <row r="67" ht="15" customHeight="1" s="38">
      <c r="A67" s="46" t="inlineStr">
        <is>
          <t>S3-T07</t>
        </is>
      </c>
      <c r="B67" s="46" t="inlineStr">
        <is>
          <t>Sprint 3</t>
        </is>
      </c>
      <c r="C67" s="46" t="inlineStr">
        <is>
          <t>C5 'Last updated by … at …' (US-25, only if CR-06 approved)</t>
        </is>
      </c>
      <c r="D67" s="46" t="inlineStr">
        <is>
          <t>Hồ Du Tuấn Đạt</t>
        </is>
      </c>
      <c r="E67" s="57" t="n">
        <v>1.5</v>
      </c>
      <c r="F67" s="46" t="inlineStr">
        <is>
          <t>Reviewed PR</t>
        </is>
      </c>
      <c r="G67" s="48" t="inlineStr">
        <is>
          <t>To Do</t>
        </is>
      </c>
      <c r="H67" s="58" t="n">
        <v>46333</v>
      </c>
      <c r="I67" s="58" t="n">
        <v>46334</v>
      </c>
    </row>
    <row r="68" ht="15" customHeight="1" s="38">
      <c r="A68" s="46" t="inlineStr">
        <is>
          <t>S3-T08</t>
        </is>
      </c>
      <c r="B68" s="46" t="inlineStr">
        <is>
          <t>Sprint 3</t>
        </is>
      </c>
      <c r="C68" s="46" t="inlineStr">
        <is>
          <t>C6 (rest) CR test cases + regression (only if CR-06 approved)</t>
        </is>
      </c>
      <c r="D68" s="46" t="inlineStr">
        <is>
          <t>Nguyễn Minh Chính</t>
        </is>
      </c>
      <c r="E68" s="57" t="n">
        <v>2</v>
      </c>
      <c r="F68" s="46" t="inlineStr">
        <is>
          <t>Test results</t>
        </is>
      </c>
      <c r="G68" s="48" t="inlineStr">
        <is>
          <t>To Do</t>
        </is>
      </c>
      <c r="H68" s="58" t="n">
        <v>46335</v>
      </c>
      <c r="I68" s="58" t="n">
        <v>46336</v>
      </c>
    </row>
    <row r="69" ht="15" customHeight="1" s="38">
      <c r="A69" s="53" t="inlineStr">
        <is>
          <t>3.3</t>
        </is>
      </c>
      <c r="B69" s="53" t="inlineStr">
        <is>
          <t>Sprint 3</t>
        </is>
      </c>
      <c r="C69" s="53" t="inlineStr">
        <is>
          <t>Testing – F4 and F5</t>
        </is>
      </c>
      <c r="D69" s="53" t="n"/>
      <c r="E69" s="54">
        <f>SUMIFS(E70:E72,D70:D72,"&lt;&gt;")</f>
        <v/>
      </c>
      <c r="F69" s="53" t="n"/>
      <c r="G69" s="55">
        <f>IFERROR(SUMIFS(E70:E72,G70:G72,"Done",D70:D72,"&lt;&gt;")/E69,0)</f>
        <v/>
      </c>
      <c r="H69" s="56">
        <f>MIN(H70:H72)</f>
        <v/>
      </c>
      <c r="I69" s="56">
        <f>MAX(I70:I72)</f>
        <v/>
      </c>
    </row>
    <row r="70" ht="15" customHeight="1" s="38">
      <c r="A70" s="46" t="inlineStr">
        <is>
          <t>S3-T09</t>
        </is>
      </c>
      <c r="B70" s="46" t="inlineStr">
        <is>
          <t>Sprint 3</t>
        </is>
      </c>
      <c r="C70" s="46" t="inlineStr">
        <is>
          <t>F4/F5 test cases from AC</t>
        </is>
      </c>
      <c r="D70" s="46" t="inlineStr">
        <is>
          <t>Nguyễn Minh Chính</t>
        </is>
      </c>
      <c r="E70" s="57" t="n">
        <v>2</v>
      </c>
      <c r="F70" s="46" t="inlineStr">
        <is>
          <t>Test cases F4, F5</t>
        </is>
      </c>
      <c r="G70" s="48" t="inlineStr">
        <is>
          <t>To Do</t>
        </is>
      </c>
      <c r="H70" s="58" t="n">
        <v>46334</v>
      </c>
      <c r="I70" s="58" t="n">
        <v>46336</v>
      </c>
    </row>
    <row r="71" ht="15" customHeight="1" s="38">
      <c r="A71" s="46" t="inlineStr">
        <is>
          <t>S3-T10</t>
        </is>
      </c>
      <c r="B71" s="46" t="inlineStr">
        <is>
          <t>Sprint 3</t>
        </is>
      </c>
      <c r="C71" s="46" t="inlineStr">
        <is>
          <t>Run F4/F5 test cases + regression F1–F3; record results and defects</t>
        </is>
      </c>
      <c r="D71" s="46" t="inlineStr">
        <is>
          <t>Hồ Du Tuấn Đạt</t>
        </is>
      </c>
      <c r="E71" s="57" t="n">
        <v>3</v>
      </c>
      <c r="F71" s="46" t="inlineStr">
        <is>
          <t>Test results; defect log</t>
        </is>
      </c>
      <c r="G71" s="48" t="inlineStr">
        <is>
          <t>To Do</t>
        </is>
      </c>
      <c r="H71" s="58" t="n">
        <v>46336</v>
      </c>
      <c r="I71" s="58" t="n">
        <v>46337</v>
      </c>
    </row>
    <row r="72" ht="15" customHeight="1" s="38">
      <c r="A72" s="46" t="inlineStr">
        <is>
          <t>S3-T15</t>
        </is>
      </c>
      <c r="B72" s="46" t="inlineStr">
        <is>
          <t>Sprint 3</t>
        </is>
      </c>
      <c r="C72" s="46" t="inlineStr">
        <is>
          <t>Defect-fixing buffer</t>
        </is>
      </c>
      <c r="D72" s="46" t="inlineStr">
        <is>
          <t>Nguyễn Minh Chính</t>
        </is>
      </c>
      <c r="E72" s="57" t="n">
        <v>3.5</v>
      </c>
      <c r="F72" s="46" t="inlineStr">
        <is>
          <t>Fixed defects</t>
        </is>
      </c>
      <c r="G72" s="48" t="inlineStr">
        <is>
          <t>To Do</t>
        </is>
      </c>
      <c r="H72" s="58" t="n">
        <v>46336</v>
      </c>
      <c r="I72" s="58" t="n">
        <v>46338</v>
      </c>
    </row>
    <row r="73" ht="23.85" customHeight="1" s="38">
      <c r="A73" s="59" t="inlineStr">
        <is>
          <t>M7</t>
        </is>
      </c>
      <c r="B73" s="59" t="inlineStr">
        <is>
          <t>Sprint 3</t>
        </is>
      </c>
      <c r="C73" s="59" t="inlineStr">
        <is>
          <t>◆ RELEASE v1.0 + SPRINT 3 SUBMISSION – 23:59 Thu 12/11</t>
        </is>
      </c>
      <c r="D73" s="59" t="inlineStr">
        <is>
          <t>Hồ Du Tuấn Đạt</t>
        </is>
      </c>
      <c r="E73" s="60" t="n">
        <v>0</v>
      </c>
      <c r="F73" s="59" t="inlineStr">
        <is>
          <t>Upload each file separately to E-learning; no zip</t>
        </is>
      </c>
      <c r="G73" s="59" t="n"/>
      <c r="H73" s="61" t="n">
        <v>46338</v>
      </c>
      <c r="I73" s="61" t="n">
        <v>46338</v>
      </c>
    </row>
    <row r="74" ht="51.75" customHeight="1" s="38">
      <c r="A74" s="49" t="inlineStr">
        <is>
          <t>4</t>
        </is>
      </c>
      <c r="B74" s="49" t="inlineStr">
        <is>
          <t>Closure</t>
        </is>
      </c>
      <c r="C74" s="49" t="inlineStr">
        <is>
          <t>CONSOLIDATION &amp; CLOSURE (Fri 13/11 – Tue 17/11)  |  Whole team</t>
        </is>
      </c>
      <c r="D74" s="49" t="n"/>
      <c r="E74" s="50">
        <f>SUMIFS(E75:E84,D75:D84,"&lt;&gt;")</f>
        <v/>
      </c>
      <c r="F74" s="49" t="inlineStr">
        <is>
          <t>Goal: Release 1.0 accepted at UAT and online until 17/11; final package submitted on time; every member presents.</t>
        </is>
      </c>
      <c r="G74" s="51">
        <f>IFERROR(SUMIFS(E75:E84,G75:G84,"Done",D75:D84,"&lt;&gt;")/E74,0)</f>
        <v/>
      </c>
      <c r="H74" s="52">
        <f>MIN(H75:H84)</f>
        <v/>
      </c>
      <c r="I74" s="52">
        <f>MAX(I75:I84)</f>
        <v/>
      </c>
    </row>
    <row r="75" ht="15" customHeight="1" s="38">
      <c r="A75" s="53" t="inlineStr">
        <is>
          <t>4.1</t>
        </is>
      </c>
      <c r="B75" s="53" t="inlineStr">
        <is>
          <t>Closure</t>
        </is>
      </c>
      <c r="C75" s="53" t="inlineStr">
        <is>
          <t>Acceptance and hand-over</t>
        </is>
      </c>
      <c r="D75" s="53" t="n"/>
      <c r="E75" s="54">
        <f>SUMIFS(E76:E77,D76:D77,"&lt;&gt;")</f>
        <v/>
      </c>
      <c r="F75" s="53" t="n"/>
      <c r="G75" s="55">
        <f>IFERROR(SUMIFS(E76:E77,G76:G77,"Done",D76:D77,"&lt;&gt;")/E75,0)</f>
        <v/>
      </c>
      <c r="H75" s="56">
        <f>MIN(H76:H77)</f>
        <v/>
      </c>
      <c r="I75" s="56">
        <f>MAX(I76:I77)</f>
        <v/>
      </c>
    </row>
    <row r="76" ht="15" customHeight="1" s="38">
      <c r="A76" s="46" t="inlineStr">
        <is>
          <t>4.1.1</t>
        </is>
      </c>
      <c r="B76" s="46" t="inlineStr">
        <is>
          <t>Closure</t>
        </is>
      </c>
      <c r="C76" s="46" t="inlineStr">
        <is>
          <t>◆ Review 3 + UAT with the customer; acceptance record</t>
        </is>
      </c>
      <c r="D76" s="46" t="inlineStr">
        <is>
          <t>Both</t>
        </is>
      </c>
      <c r="E76" s="57" t="n">
        <v>2</v>
      </c>
      <c r="F76" s="46" t="inlineStr">
        <is>
          <t>Signed acceptance record</t>
        </is>
      </c>
      <c r="G76" s="48" t="inlineStr">
        <is>
          <t>To Do</t>
        </is>
      </c>
      <c r="H76" s="58" t="n">
        <v>46339</v>
      </c>
      <c r="I76" s="58" t="n">
        <v>46339</v>
      </c>
    </row>
    <row r="77" ht="15" customHeight="1" s="38">
      <c r="A77" s="46" t="inlineStr">
        <is>
          <t>4.1.2</t>
        </is>
      </c>
      <c r="B77" s="46" t="inlineStr">
        <is>
          <t>Closure</t>
        </is>
      </c>
      <c r="C77" s="46" t="inlineStr">
        <is>
          <t>Final hosting check, demo accounts (admin, customer), closure data</t>
        </is>
      </c>
      <c r="D77" s="46" t="inlineStr">
        <is>
          <t>Hồ Du Tuấn Đạt</t>
        </is>
      </c>
      <c r="E77" s="57" t="n">
        <v>2</v>
      </c>
      <c r="F77" s="46" t="inlineStr">
        <is>
          <t>URL; demo accounts; closure data</t>
        </is>
      </c>
      <c r="G77" s="48" t="inlineStr">
        <is>
          <t>To Do</t>
        </is>
      </c>
      <c r="H77" s="58" t="n">
        <v>46339</v>
      </c>
      <c r="I77" s="58" t="n">
        <v>46340</v>
      </c>
    </row>
    <row r="78" ht="15" customHeight="1" s="38">
      <c r="A78" s="53" t="inlineStr">
        <is>
          <t>4.2</t>
        </is>
      </c>
      <c r="B78" s="53" t="inlineStr">
        <is>
          <t>Closure</t>
        </is>
      </c>
      <c r="C78" s="53" t="inlineStr">
        <is>
          <t>Closure documents and presentation</t>
        </is>
      </c>
      <c r="D78" s="53" t="n"/>
      <c r="E78" s="54">
        <f>SUMIFS(E79:E83,D79:D83,"&lt;&gt;")</f>
        <v/>
      </c>
      <c r="F78" s="53" t="n"/>
      <c r="G78" s="55">
        <f>IFERROR(SUMIFS(E79:E83,G79:G83,"Done",D79:D83,"&lt;&gt;")/E78,0)</f>
        <v/>
      </c>
      <c r="H78" s="56">
        <f>MIN(H79:H83)</f>
        <v/>
      </c>
      <c r="I78" s="56">
        <f>MAX(I79:I83)</f>
        <v/>
      </c>
    </row>
    <row r="79" ht="23.85" customHeight="1" s="38">
      <c r="A79" s="46" t="inlineStr">
        <is>
          <t>4.2.1</t>
        </is>
      </c>
      <c r="B79" s="46" t="inlineStr">
        <is>
          <t>Closure</t>
        </is>
      </c>
      <c r="C79" s="46" t="inlineStr">
        <is>
          <t>Final Report: plan vs. actual, EVM, risks &amp; changes, closure checklist, Lessons Learned ≥ 5, AI declaration</t>
        </is>
      </c>
      <c r="D79" s="46" t="inlineStr">
        <is>
          <t>Nguyễn Minh Chính</t>
        </is>
      </c>
      <c r="E79" s="57" t="n">
        <v>4</v>
      </c>
      <c r="F79" s="46" t="inlineStr">
        <is>
          <t>c6_FinalReport.docx</t>
        </is>
      </c>
      <c r="G79" s="48" t="inlineStr">
        <is>
          <t>To Do</t>
        </is>
      </c>
      <c r="H79" s="58" t="n">
        <v>46339</v>
      </c>
      <c r="I79" s="58" t="n">
        <v>46341</v>
      </c>
    </row>
    <row r="80" ht="15" customHeight="1" s="38">
      <c r="A80" s="46" t="inlineStr">
        <is>
          <t>4.2.2</t>
        </is>
      </c>
      <c r="B80" s="46" t="inlineStr">
        <is>
          <t>Closure</t>
        </is>
      </c>
      <c r="C80" s="46" t="inlineStr">
        <is>
          <t>PMP Final + Workbook Final (EVM sheet)</t>
        </is>
      </c>
      <c r="D80" s="46" t="inlineStr">
        <is>
          <t>Hồ Du Tuấn Đạt</t>
        </is>
      </c>
      <c r="E80" s="57" t="n">
        <v>3</v>
      </c>
      <c r="F80" s="46" t="inlineStr">
        <is>
          <t>c1_ProjectPlan_Final, c2_SprintBacklog_Final</t>
        </is>
      </c>
      <c r="G80" s="48" t="inlineStr">
        <is>
          <t>To Do</t>
        </is>
      </c>
      <c r="H80" s="58" t="n">
        <v>46339</v>
      </c>
      <c r="I80" s="58" t="n">
        <v>46341</v>
      </c>
    </row>
    <row r="81" ht="15" customHeight="1" s="38">
      <c r="A81" s="46" t="inlineStr">
        <is>
          <t>4.2.3</t>
        </is>
      </c>
      <c r="B81" s="46" t="inlineStr">
        <is>
          <t>Closure</t>
        </is>
      </c>
      <c r="C81" s="46" t="inlineStr">
        <is>
          <t>Slides (font ≥ 20 pt) + demo video ≤ 3 min (pass and fail AC)</t>
        </is>
      </c>
      <c r="D81" s="46" t="inlineStr">
        <is>
          <t>Both</t>
        </is>
      </c>
      <c r="E81" s="57" t="n">
        <v>4</v>
      </c>
      <c r="F81" s="46" t="inlineStr">
        <is>
          <t>c6_Slides; video link</t>
        </is>
      </c>
      <c r="G81" s="48" t="inlineStr">
        <is>
          <t>To Do</t>
        </is>
      </c>
      <c r="H81" s="58" t="n">
        <v>46340</v>
      </c>
      <c r="I81" s="58" t="n">
        <v>46341</v>
      </c>
    </row>
    <row r="82" ht="15" customHeight="1" s="38">
      <c r="A82" s="46" t="inlineStr">
        <is>
          <t>4.2.4</t>
        </is>
      </c>
      <c r="B82" s="46" t="inlineStr">
        <is>
          <t>Closure</t>
        </is>
      </c>
      <c r="C82" s="46" t="inlineStr">
        <is>
          <t>Final submission + one Eval360 file per member</t>
        </is>
      </c>
      <c r="D82" s="46" t="inlineStr">
        <is>
          <t>Both</t>
        </is>
      </c>
      <c r="E82" s="57" t="n">
        <v>1</v>
      </c>
      <c r="F82" s="46" t="inlineStr">
        <is>
          <t>All final files</t>
        </is>
      </c>
      <c r="G82" s="48" t="inlineStr">
        <is>
          <t>To Do</t>
        </is>
      </c>
      <c r="H82" s="58" t="n">
        <v>46341</v>
      </c>
      <c r="I82" s="58" t="n">
        <v>46341</v>
      </c>
    </row>
    <row r="83" ht="15" customHeight="1" s="38">
      <c r="A83" s="46" t="inlineStr">
        <is>
          <t>4.2.5</t>
        </is>
      </c>
      <c r="B83" s="46" t="inlineStr">
        <is>
          <t>Closure</t>
        </is>
      </c>
      <c r="C83" s="46" t="inlineStr">
        <is>
          <t>Rehearsal; keep the website online until the end of 17/11</t>
        </is>
      </c>
      <c r="D83" s="46" t="inlineStr">
        <is>
          <t>Both</t>
        </is>
      </c>
      <c r="E83" s="57" t="n">
        <v>2</v>
      </c>
      <c r="F83" s="46" t="inlineStr">
        <is>
          <t>Rehearsal notes</t>
        </is>
      </c>
      <c r="G83" s="48" t="inlineStr">
        <is>
          <t>To Do</t>
        </is>
      </c>
      <c r="H83" s="58" t="n">
        <v>46342</v>
      </c>
      <c r="I83" s="58" t="n">
        <v>46343</v>
      </c>
    </row>
    <row r="84" ht="15" customHeight="1" s="38">
      <c r="A84" s="59" t="inlineStr">
        <is>
          <t>M10</t>
        </is>
      </c>
      <c r="B84" s="59" t="inlineStr">
        <is>
          <t>Closure</t>
        </is>
      </c>
      <c r="C84" s="59" t="inlineStr">
        <is>
          <t>◆ FINAL PRESENTATION – 07:00 Tue 17/11</t>
        </is>
      </c>
      <c r="D84" s="59" t="inlineStr">
        <is>
          <t>Both</t>
        </is>
      </c>
      <c r="E84" s="60" t="n">
        <v>0</v>
      </c>
      <c r="F84" s="59" t="n"/>
      <c r="G84" s="59" t="n"/>
      <c r="H84" s="61" t="n">
        <v>46343</v>
      </c>
      <c r="I84" s="61" t="n">
        <v>46343</v>
      </c>
    </row>
    <row r="86" ht="15" customHeight="1" s="38">
      <c r="C86" s="41" t="inlineStr">
        <is>
          <t>Total effort Sprints 1–3 (h) – basis of BAC</t>
        </is>
      </c>
      <c r="E86" s="62">
        <f>E5+E25+E54</f>
        <v/>
      </c>
    </row>
    <row r="87" ht="15" customHeight="1" s="38">
      <c r="C87" s="41" t="inlineStr">
        <is>
          <t>Closure effort (h) – after Sprint 3, outside BAC (PV is defined over N = 3 Sprints)</t>
        </is>
      </c>
      <c r="E87" s="62">
        <f>E74</f>
        <v/>
      </c>
    </row>
  </sheetData>
  <dataValidations count="2">
    <dataValidation sqref="G7:G14 G16:G21 G23 G27:G32 G34:G42 G44:G49 G51:G52 G56:G61 G63:G68 G70:G72 G76:G77 G79:G83" showDropDown="0" showInputMessage="0" showErrorMessage="0" allowBlank="1" type="list" errorStyle="stop" operator="between">
      <formula1>"To Do,In Progress,Done"</formula1>
      <formula2>0</formula2>
    </dataValidation>
    <dataValidation sqref="D7:D14 D16:D21 D23 D27:D32 D34:D42 D44:D49 D51:D52 D56:D61 D63:D68 D70:D72 D76:D77 D79:D83" showDropDown="0" showInputMessage="0" showErrorMessage="0" allowBlank="1" type="list" errorStyle="stop" operator="between">
      <formula1>"Hồ Du Tuấn Đạt,Nguyễn Minh Chính,Both"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9" customWidth="1" style="37" min="2" max="2"/>
    <col width="22" customWidth="1" style="37" min="3" max="3"/>
    <col width="58" customWidth="1" style="37" min="4" max="4"/>
    <col width="7" customWidth="1" style="37" min="5" max="5"/>
    <col width="13" customWidth="1" style="37" min="6" max="6"/>
    <col width="10" customWidth="1" style="37" min="7" max="7"/>
    <col width="20" customWidth="1" style="37" min="8" max="8"/>
    <col width="56" customWidth="1" style="37" min="9" max="9"/>
  </cols>
  <sheetData>
    <row r="1" ht="17.35" customHeight="1" s="38">
      <c r="A1" s="39" t="inlineStr">
        <is>
          <t>PRODUCT BACKLOG ALLOCATION PER SPRINT (Product Backlog v1.0)</t>
        </is>
      </c>
    </row>
    <row r="2" ht="15" customHeight="1" s="38">
      <c r="A2" s="40" t="inlineStr">
        <is>
          <t>IDs and stories as in pm/backlog/product-backlog.md (v1.0-draft, 30 items; v0 = TA backlog, 23 items, 99 SP). SP = final Planning Poker result from sheet 8 (empty until the session is held).</t>
        </is>
      </c>
    </row>
    <row r="4" ht="15" customHeight="1" s="38">
      <c r="A4" s="45" t="inlineStr">
        <is>
          <t>ID</t>
        </is>
      </c>
      <c r="B4" s="45" t="inlineStr">
        <is>
          <t>Feature</t>
        </is>
      </c>
      <c r="C4" s="45" t="inlineStr">
        <is>
          <t>Epic</t>
        </is>
      </c>
      <c r="D4" s="45" t="inlineStr">
        <is>
          <t>User Story (short)</t>
        </is>
      </c>
      <c r="E4" s="45" t="inlineStr">
        <is>
          <t>SP</t>
        </is>
      </c>
      <c r="F4" s="45" t="inlineStr">
        <is>
          <t>MoSCoW</t>
        </is>
      </c>
      <c r="G4" s="45" t="inlineStr">
        <is>
          <t>Sprint</t>
        </is>
      </c>
      <c r="H4" s="45" t="inlineStr">
        <is>
          <t>Main developer</t>
        </is>
      </c>
      <c r="I4" s="45" t="inlineStr">
        <is>
          <t>Change vs. backlog v0 (v0 SP in brackets)</t>
        </is>
      </c>
    </row>
    <row r="5" ht="23.85" customHeight="1" s="38">
      <c r="A5" s="46" t="inlineStr">
        <is>
          <t>US-01</t>
        </is>
      </c>
      <c r="B5" s="46" t="inlineStr">
        <is>
          <t>F1</t>
        </is>
      </c>
      <c r="C5" s="46" t="inlineStr">
        <is>
          <t>EP-01 User Accounts</t>
        </is>
      </c>
      <c r="D5" s="46" t="inlineStr">
        <is>
          <t>Visitor registers with name, email and password (signs in as Customer)</t>
        </is>
      </c>
      <c r="E5" s="46">
        <f>IFERROR(IF(INDEX(8_PlanningPoker!$F$9:$F$28,MATCH(A5,8_PlanningPoker!$A$9:$A$28,0))="","",INDEX(8_PlanningPoker!$F$9:$F$28,MATCH(A5,8_PlanningPoker!$A$9:$A$28,0))),"")</f>
        <v/>
      </c>
      <c r="F5" s="46" t="inlineStr">
        <is>
          <t>Must</t>
        </is>
      </c>
      <c r="G5" s="48" t="inlineStr">
        <is>
          <t>Sprint 1</t>
        </is>
      </c>
      <c r="H5" s="46" t="inlineStr">
        <is>
          <t>Hồ Du Tuấn Đạt</t>
        </is>
      </c>
      <c r="I5" s="46" t="inlineStr">
        <is>
          <t>Kept – v0 US-01; email confirmation dropped, hashing + validation ACs added [v0: 3 SP]</t>
        </is>
      </c>
    </row>
    <row r="6" ht="15" customHeight="1" s="38">
      <c r="A6" s="46" t="inlineStr">
        <is>
          <t>US-02</t>
        </is>
      </c>
      <c r="B6" s="46" t="inlineStr">
        <is>
          <t>F1</t>
        </is>
      </c>
      <c r="C6" s="46" t="inlineStr">
        <is>
          <t>EP-01 User Accounts</t>
        </is>
      </c>
      <c r="D6" s="46" t="inlineStr">
        <is>
          <t>Registered user logs in and logs out</t>
        </is>
      </c>
      <c r="E6" s="46">
        <f>IFERROR(IF(INDEX(8_PlanningPoker!$F$9:$F$28,MATCH(A6,8_PlanningPoker!$A$9:$A$28,0))="","",INDEX(8_PlanningPoker!$F$9:$F$28,MATCH(A6,8_PlanningPoker!$A$9:$A$28,0))),"")</f>
        <v/>
      </c>
      <c r="F6" s="46" t="inlineStr">
        <is>
          <t>Must</t>
        </is>
      </c>
      <c r="G6" s="48" t="inlineStr">
        <is>
          <t>Sprint 1</t>
        </is>
      </c>
      <c r="H6" s="46" t="inlineStr">
        <is>
          <t>Hồ Du Tuấn Đạt</t>
        </is>
      </c>
      <c r="I6" s="46" t="inlineStr">
        <is>
          <t>Kept – v0 US-02; password reset moved to Release 2 [v0: 3 SP]</t>
        </is>
      </c>
    </row>
    <row r="7" ht="15" customHeight="1" s="38">
      <c r="A7" s="46" t="inlineStr">
        <is>
          <t>US-03</t>
        </is>
      </c>
      <c r="B7" s="46" t="inlineStr">
        <is>
          <t>F1</t>
        </is>
      </c>
      <c r="C7" s="46" t="inlineStr">
        <is>
          <t>EP-01 User Accounts</t>
        </is>
      </c>
      <c r="D7" s="46" t="inlineStr">
        <is>
          <t>Administrator creates accounts with a role and locks/unlocks accounts</t>
        </is>
      </c>
      <c r="E7" s="46">
        <f>IFERROR(IF(INDEX(8_PlanningPoker!$F$9:$F$28,MATCH(A7,8_PlanningPoker!$A$9:$A$28,0))="","",INDEX(8_PlanningPoker!$F$9:$F$28,MATCH(A7,8_PlanningPoker!$A$9:$A$28,0))),"")</f>
        <v/>
      </c>
      <c r="F7" s="46" t="inlineStr">
        <is>
          <t>Must</t>
        </is>
      </c>
      <c r="G7" s="48" t="inlineStr">
        <is>
          <t>Sprint 1</t>
        </is>
      </c>
      <c r="H7" s="46" t="inlineStr">
        <is>
          <t>Nguyễn Minh Chính</t>
        </is>
      </c>
      <c r="I7" s="46" t="inlineStr">
        <is>
          <t>Rewritten – v0 US-03 (Store Manager/Staff roles removed) [v0: 5 SP]</t>
        </is>
      </c>
    </row>
    <row r="8" ht="23.85" customHeight="1" s="38">
      <c r="A8" s="46" t="inlineStr">
        <is>
          <t>US-04</t>
        </is>
      </c>
      <c r="B8" s="46" t="inlineStr">
        <is>
          <t>F1</t>
        </is>
      </c>
      <c r="C8" s="46" t="inlineStr">
        <is>
          <t>EP-01 User Accounts</t>
        </is>
      </c>
      <c r="D8" s="46" t="inlineStr">
        <is>
          <t>Admin functions blocked on the server for anyone who is not an administrator</t>
        </is>
      </c>
      <c r="E8" s="46">
        <f>IFERROR(IF(INDEX(8_PlanningPoker!$F$9:$F$28,MATCH(A8,8_PlanningPoker!$A$9:$A$28,0))="","",INDEX(8_PlanningPoker!$F$9:$F$28,MATCH(A8,8_PlanningPoker!$A$9:$A$28,0))),"")</f>
        <v/>
      </c>
      <c r="F8" s="46" t="inlineStr">
        <is>
          <t>Must</t>
        </is>
      </c>
      <c r="G8" s="48" t="inlineStr">
        <is>
          <t>Sprint 1</t>
        </is>
      </c>
      <c r="H8" s="46" t="inlineStr">
        <is>
          <t>Hồ Du Tuấn Đạt</t>
        </is>
      </c>
      <c r="I8" s="46" t="inlineStr">
        <is>
          <t>New [new]</t>
        </is>
      </c>
    </row>
    <row r="9" ht="15" customHeight="1" s="38">
      <c r="A9" s="46" t="inlineStr">
        <is>
          <t>NFR-01</t>
        </is>
      </c>
      <c r="B9" s="46" t="inlineStr">
        <is>
          <t>F1</t>
        </is>
      </c>
      <c r="C9" s="46" t="inlineStr">
        <is>
          <t>EP-08 Quality (NFR)</t>
        </is>
      </c>
      <c r="D9" s="46" t="inlineStr">
        <is>
          <t>Passwords stored as hashes; every form validated on client and server</t>
        </is>
      </c>
      <c r="E9" s="46">
        <f>IFERROR(IF(INDEX(8_PlanningPoker!$F$9:$F$28,MATCH(A9,8_PlanningPoker!$A$9:$A$28,0))="","",INDEX(8_PlanningPoker!$F$9:$F$28,MATCH(A9,8_PlanningPoker!$A$9:$A$28,0))),"")</f>
        <v/>
      </c>
      <c r="F9" s="46" t="inlineStr">
        <is>
          <t>Must</t>
        </is>
      </c>
      <c r="G9" s="48" t="inlineStr">
        <is>
          <t>Sprint 1</t>
        </is>
      </c>
      <c r="H9" s="46" t="inlineStr">
        <is>
          <t>Hồ Du Tuấn Đạt</t>
        </is>
      </c>
      <c r="I9" s="46" t="inlineStr">
        <is>
          <t>New [new]</t>
        </is>
      </c>
    </row>
    <row r="10" ht="15" customHeight="1" s="38">
      <c r="A10" s="46" t="inlineStr">
        <is>
          <t>NFR-03</t>
        </is>
      </c>
      <c r="B10" s="46" t="inlineStr">
        <is>
          <t>All</t>
        </is>
      </c>
      <c r="C10" s="46" t="inlineStr">
        <is>
          <t>EP-08 Quality (NFR)</t>
        </is>
      </c>
      <c r="D10" s="46" t="inlineStr">
        <is>
          <t>Site hosted on a free public URL until 17/11/2026</t>
        </is>
      </c>
      <c r="E10" s="46">
        <f>IFERROR(IF(INDEX(8_PlanningPoker!$F$9:$F$28,MATCH(A10,8_PlanningPoker!$A$9:$A$28,0))="","",INDEX(8_PlanningPoker!$F$9:$F$28,MATCH(A10,8_PlanningPoker!$A$9:$A$28,0))),"")</f>
        <v/>
      </c>
      <c r="F10" s="46" t="inlineStr">
        <is>
          <t>Must</t>
        </is>
      </c>
      <c r="G10" s="48" t="inlineStr">
        <is>
          <t>Sprint 1</t>
        </is>
      </c>
      <c r="H10" s="46" t="inlineStr">
        <is>
          <t>Hồ Du Tuấn Đạt</t>
        </is>
      </c>
      <c r="I10" s="46" t="inlineStr">
        <is>
          <t>New [new]</t>
        </is>
      </c>
    </row>
    <row r="11" ht="23.85" customHeight="1" s="38">
      <c r="A11" s="46" t="inlineStr">
        <is>
          <t>US-05</t>
        </is>
      </c>
      <c r="B11" s="46" t="inlineStr">
        <is>
          <t>F2</t>
        </is>
      </c>
      <c r="C11" s="46" t="inlineStr">
        <is>
          <t>EP-03 Book Management</t>
        </is>
      </c>
      <c r="D11" s="46" t="inlineStr">
        <is>
          <t>Administrator adds a book (title, author, category, price &gt; 0, description, cover, stock)</t>
        </is>
      </c>
      <c r="E11" s="46">
        <f>IFERROR(IF(INDEX(8_PlanningPoker!$F$9:$F$28,MATCH(A11,8_PlanningPoker!$A$9:$A$28,0))="","",INDEX(8_PlanningPoker!$F$9:$F$28,MATCH(A11,8_PlanningPoker!$A$9:$A$28,0))),"")</f>
        <v/>
      </c>
      <c r="F11" s="46" t="inlineStr">
        <is>
          <t>Must</t>
        </is>
      </c>
      <c r="G11" s="48" t="inlineStr">
        <is>
          <t>Sprint 2</t>
        </is>
      </c>
      <c r="H11" s="46" t="inlineStr">
        <is>
          <t>Hồ Du Tuấn Đạt</t>
        </is>
      </c>
      <c r="I11" s="46" t="inlineStr">
        <is>
          <t>Changed – v0 US-08 [v0: 5 SP]</t>
        </is>
      </c>
    </row>
    <row r="12" ht="15" customHeight="1" s="38">
      <c r="A12" s="46" t="inlineStr">
        <is>
          <t>US-06</t>
        </is>
      </c>
      <c r="B12" s="46" t="inlineStr">
        <is>
          <t>F2</t>
        </is>
      </c>
      <c r="C12" s="46" t="inlineStr">
        <is>
          <t>EP-03 Book Management</t>
        </is>
      </c>
      <c r="D12" s="46" t="inlineStr">
        <is>
          <t>Administrator edits a book</t>
        </is>
      </c>
      <c r="E12" s="46">
        <f>IFERROR(IF(INDEX(8_PlanningPoker!$F$9:$F$28,MATCH(A12,8_PlanningPoker!$A$9:$A$28,0))="","",INDEX(8_PlanningPoker!$F$9:$F$28,MATCH(A12,8_PlanningPoker!$A$9:$A$28,0))),"")</f>
        <v/>
      </c>
      <c r="F12" s="46" t="inlineStr">
        <is>
          <t>Must</t>
        </is>
      </c>
      <c r="G12" s="48" t="inlineStr">
        <is>
          <t>Sprint 2</t>
        </is>
      </c>
      <c r="H12" s="46" t="inlineStr">
        <is>
          <t>Hồ Du Tuấn Đạt</t>
        </is>
      </c>
      <c r="I12" s="46" t="inlineStr">
        <is>
          <t>Kept – v0 US-09 [v0: 3 SP]</t>
        </is>
      </c>
    </row>
    <row r="13" ht="15" customHeight="1" s="38">
      <c r="A13" s="46" t="inlineStr">
        <is>
          <t>US-07</t>
        </is>
      </c>
      <c r="B13" s="46" t="inlineStr">
        <is>
          <t>F2</t>
        </is>
      </c>
      <c r="C13" s="46" t="inlineStr">
        <is>
          <t>EP-03 Book Management</t>
        </is>
      </c>
      <c r="D13" s="46" t="inlineStr">
        <is>
          <t>Administrator deletes (hides) a book without losing its record</t>
        </is>
      </c>
      <c r="E13" s="46">
        <f>IFERROR(IF(INDEX(8_PlanningPoker!$F$9:$F$28,MATCH(A13,8_PlanningPoker!$A$9:$A$28,0))="","",INDEX(8_PlanningPoker!$F$9:$F$28,MATCH(A13,8_PlanningPoker!$A$9:$A$28,0))),"")</f>
        <v/>
      </c>
      <c r="F13" s="46" t="inlineStr">
        <is>
          <t>Must</t>
        </is>
      </c>
      <c r="G13" s="48" t="inlineStr">
        <is>
          <t>Sprint 2</t>
        </is>
      </c>
      <c r="H13" s="46" t="inlineStr">
        <is>
          <t>Hồ Du Tuấn Đạt</t>
        </is>
      </c>
      <c r="I13" s="46" t="inlineStr">
        <is>
          <t>Kept – v0 US-10 [v0: 2 SP]</t>
        </is>
      </c>
    </row>
    <row r="14" ht="15" customHeight="1" s="38">
      <c r="A14" s="46" t="inlineStr">
        <is>
          <t>US-08</t>
        </is>
      </c>
      <c r="B14" s="46" t="inlineStr">
        <is>
          <t>F2</t>
        </is>
      </c>
      <c r="C14" s="46" t="inlineStr">
        <is>
          <t>EP-03 Book Management</t>
        </is>
      </c>
      <c r="D14" s="46" t="inlineStr">
        <is>
          <t>Administrator manages categories</t>
        </is>
      </c>
      <c r="E14" s="46">
        <f>IFERROR(IF(INDEX(8_PlanningPoker!$F$9:$F$28,MATCH(A14,8_PlanningPoker!$A$9:$A$28,0))="","",INDEX(8_PlanningPoker!$F$9:$F$28,MATCH(A14,8_PlanningPoker!$A$9:$A$28,0))),"")</f>
        <v/>
      </c>
      <c r="F14" s="46" t="inlineStr">
        <is>
          <t>Must</t>
        </is>
      </c>
      <c r="G14" s="48" t="inlineStr">
        <is>
          <t>Sprint 2</t>
        </is>
      </c>
      <c r="H14" s="46" t="inlineStr">
        <is>
          <t>Nguyễn Minh Chính</t>
        </is>
      </c>
      <c r="I14" s="46" t="inlineStr">
        <is>
          <t>New [05 #5] [new]</t>
        </is>
      </c>
    </row>
    <row r="15" ht="15" customHeight="1" s="38">
      <c r="A15" s="46" t="inlineStr">
        <is>
          <t>US-09</t>
        </is>
      </c>
      <c r="B15" s="46" t="inlineStr">
        <is>
          <t>F2</t>
        </is>
      </c>
      <c r="C15" s="46" t="inlineStr">
        <is>
          <t>EP-03 Book Management</t>
        </is>
      </c>
      <c r="D15" s="46" t="inlineStr">
        <is>
          <t>Administrator manages authors</t>
        </is>
      </c>
      <c r="E15" s="46">
        <f>IFERROR(IF(INDEX(8_PlanningPoker!$F$9:$F$28,MATCH(A15,8_PlanningPoker!$A$9:$A$28,0))="","",INDEX(8_PlanningPoker!$F$9:$F$28,MATCH(A15,8_PlanningPoker!$A$9:$A$28,0))),"")</f>
        <v/>
      </c>
      <c r="F15" s="46" t="inlineStr">
        <is>
          <t>Must</t>
        </is>
      </c>
      <c r="G15" s="48" t="inlineStr">
        <is>
          <t>Sprint 2</t>
        </is>
      </c>
      <c r="H15" s="46" t="inlineStr">
        <is>
          <t>Nguyễn Minh Chính</t>
        </is>
      </c>
      <c r="I15" s="46" t="inlineStr">
        <is>
          <t>New [05 #5] [new]</t>
        </is>
      </c>
    </row>
    <row r="16" ht="15" customHeight="1" s="38">
      <c r="A16" s="46" t="inlineStr">
        <is>
          <t>NFR-02</t>
        </is>
      </c>
      <c r="B16" s="46" t="inlineStr">
        <is>
          <t>F2/F3</t>
        </is>
      </c>
      <c r="C16" s="46" t="inlineStr">
        <is>
          <t>EP-08 Quality (NFR)</t>
        </is>
      </c>
      <c r="D16" s="46" t="inlineStr">
        <is>
          <t>At least 30 sample books loaded</t>
        </is>
      </c>
      <c r="E16" s="46">
        <f>IFERROR(IF(INDEX(8_PlanningPoker!$F$9:$F$28,MATCH(A16,8_PlanningPoker!$A$9:$A$28,0))="","",INDEX(8_PlanningPoker!$F$9:$F$28,MATCH(A16,8_PlanningPoker!$A$9:$A$28,0))),"")</f>
        <v/>
      </c>
      <c r="F16" s="46" t="inlineStr">
        <is>
          <t>Must</t>
        </is>
      </c>
      <c r="G16" s="48" t="inlineStr">
        <is>
          <t>Sprint 2</t>
        </is>
      </c>
      <c r="H16" s="46" t="inlineStr">
        <is>
          <t>Hồ Du Tuấn Đạt</t>
        </is>
      </c>
      <c r="I16" s="46" t="inlineStr">
        <is>
          <t>New – v0 task T-16 [new]</t>
        </is>
      </c>
    </row>
    <row r="17" ht="15" customHeight="1" s="38">
      <c r="A17" s="46" t="inlineStr">
        <is>
          <t>US-10</t>
        </is>
      </c>
      <c r="B17" s="46" t="inlineStr">
        <is>
          <t>F3</t>
        </is>
      </c>
      <c r="C17" s="46" t="inlineStr">
        <is>
          <t>EP-02 Book Catalog</t>
        </is>
      </c>
      <c r="D17" s="46" t="inlineStr">
        <is>
          <t>Customer browses a grid of 12 books per page, newest first</t>
        </is>
      </c>
      <c r="E17" s="46">
        <f>IFERROR(IF(INDEX(8_PlanningPoker!$F$9:$F$28,MATCH(A17,8_PlanningPoker!$A$9:$A$28,0))="","",INDEX(8_PlanningPoker!$F$9:$F$28,MATCH(A17,8_PlanningPoker!$A$9:$A$28,0))),"")</f>
        <v/>
      </c>
      <c r="F17" s="46" t="inlineStr">
        <is>
          <t>Must</t>
        </is>
      </c>
      <c r="G17" s="48" t="inlineStr">
        <is>
          <t>Sprint 2</t>
        </is>
      </c>
      <c r="H17" s="46" t="inlineStr">
        <is>
          <t>Nguyễn Minh Chính</t>
        </is>
      </c>
      <c r="I17" s="46" t="inlineStr">
        <is>
          <t>Changed – v0 US-05 (20 → 12 per page) [v0: 3 SP]</t>
        </is>
      </c>
    </row>
    <row r="18" ht="15" customHeight="1" s="38">
      <c r="A18" s="46" t="inlineStr">
        <is>
          <t>NFR-04</t>
        </is>
      </c>
      <c r="B18" s="46" t="inlineStr">
        <is>
          <t>F3</t>
        </is>
      </c>
      <c r="C18" s="46" t="inlineStr">
        <is>
          <t>EP-08 Quality (NFR)</t>
        </is>
      </c>
      <c r="D18" s="46" t="inlineStr">
        <is>
          <t>Every page works on phone, tablet and desktop</t>
        </is>
      </c>
      <c r="E18" s="46">
        <f>IFERROR(IF(INDEX(8_PlanningPoker!$F$9:$F$28,MATCH(A18,8_PlanningPoker!$A$9:$A$28,0))="","",INDEX(8_PlanningPoker!$F$9:$F$28,MATCH(A18,8_PlanningPoker!$A$9:$A$28,0))),"")</f>
        <v/>
      </c>
      <c r="F18" s="46" t="inlineStr">
        <is>
          <t>Must</t>
        </is>
      </c>
      <c r="G18" s="48" t="inlineStr">
        <is>
          <t>Sprint 2</t>
        </is>
      </c>
      <c r="H18" s="46" t="inlineStr">
        <is>
          <t>Nguyễn Minh Chính</t>
        </is>
      </c>
      <c r="I18" s="46" t="inlineStr">
        <is>
          <t>Kept – v0 US-21 [v0: 5 SP]</t>
        </is>
      </c>
    </row>
    <row r="19" ht="23.85" customHeight="1" s="38">
      <c r="A19" s="46" t="inlineStr">
        <is>
          <t>US-11</t>
        </is>
      </c>
      <c r="B19" s="46" t="inlineStr">
        <is>
          <t>F4</t>
        </is>
      </c>
      <c r="C19" s="46" t="inlineStr">
        <is>
          <t>EP-02 Book Catalog</t>
        </is>
      </c>
      <c r="D19" s="46" t="inlineStr">
        <is>
          <t>Customer opens a book's detail page and goes back to the same list page</t>
        </is>
      </c>
      <c r="E19" s="46">
        <f>IFERROR(IF(INDEX(8_PlanningPoker!$F$9:$F$28,MATCH(A19,8_PlanningPoker!$A$9:$A$28,0))="","",INDEX(8_PlanningPoker!$F$9:$F$28,MATCH(A19,8_PlanningPoker!$A$9:$A$28,0))),"")</f>
        <v/>
      </c>
      <c r="F19" s="46" t="inlineStr">
        <is>
          <t>Must</t>
        </is>
      </c>
      <c r="G19" s="48" t="inlineStr">
        <is>
          <t>Sprint 3</t>
        </is>
      </c>
      <c r="H19" s="46" t="inlineStr">
        <is>
          <t>Nguyễn Minh Chính</t>
        </is>
      </c>
      <c r="I19" s="46" t="inlineStr">
        <is>
          <t>Changed – v0 US-07 (+ friendly not-found, Back keeps page) [v0: 3 SP]</t>
        </is>
      </c>
    </row>
    <row r="20" ht="15" customHeight="1" s="38">
      <c r="A20" s="46" t="inlineStr">
        <is>
          <t>US-12</t>
        </is>
      </c>
      <c r="B20" s="46" t="inlineStr">
        <is>
          <t>F5</t>
        </is>
      </c>
      <c r="C20" s="46" t="inlineStr">
        <is>
          <t>EP-02 Book Catalog</t>
        </is>
      </c>
      <c r="D20" s="46" t="inlineStr">
        <is>
          <t>Customer searches by title or author</t>
        </is>
      </c>
      <c r="E20" s="46">
        <f>IFERROR(IF(INDEX(8_PlanningPoker!$F$9:$F$28,MATCH(A20,8_PlanningPoker!$A$9:$A$28,0))="","",INDEX(8_PlanningPoker!$F$9:$F$28,MATCH(A20,8_PlanningPoker!$A$9:$A$28,0))),"")</f>
        <v/>
      </c>
      <c r="F20" s="46" t="inlineStr">
        <is>
          <t>Must</t>
        </is>
      </c>
      <c r="G20" s="48" t="inlineStr">
        <is>
          <t>Sprint 3</t>
        </is>
      </c>
      <c r="H20" s="46" t="inlineStr">
        <is>
          <t>Hồ Du Tuấn Đạt</t>
        </is>
      </c>
      <c r="I20" s="46" t="inlineStr">
        <is>
          <t>Split from v0 US-06 (v0 SP is for the whole of US-06) [v0: 5 SP]</t>
        </is>
      </c>
    </row>
    <row r="21" ht="23.85" customHeight="1" s="38">
      <c r="A21" s="46" t="inlineStr">
        <is>
          <t>US-13</t>
        </is>
      </c>
      <c r="B21" s="46" t="inlineStr">
        <is>
          <t>F5</t>
        </is>
      </c>
      <c r="C21" s="46" t="inlineStr">
        <is>
          <t>EP-02 Book Catalog</t>
        </is>
      </c>
      <c r="D21" s="46" t="inlineStr">
        <is>
          <t>Customer filters by category and price range with search and pagination</t>
        </is>
      </c>
      <c r="E21" s="46">
        <f>IFERROR(IF(INDEX(8_PlanningPoker!$F$9:$F$28,MATCH(A21,8_PlanningPoker!$A$9:$A$28,0))="","",INDEX(8_PlanningPoker!$F$9:$F$28,MATCH(A21,8_PlanningPoker!$A$9:$A$28,0))),"")</f>
        <v/>
      </c>
      <c r="F21" s="46" t="inlineStr">
        <is>
          <t>Must</t>
        </is>
      </c>
      <c r="G21" s="48" t="inlineStr">
        <is>
          <t>Sprint 3</t>
        </is>
      </c>
      <c r="H21" s="46" t="inlineStr">
        <is>
          <t>Hồ Du Tuấn Đạt</t>
        </is>
      </c>
      <c r="I21" s="46" t="inlineStr">
        <is>
          <t>Split from v0 US-06 [new]</t>
        </is>
      </c>
    </row>
    <row r="22" ht="15" customHeight="1" s="38">
      <c r="A22" s="46" t="inlineStr">
        <is>
          <t>NFR-05</t>
        </is>
      </c>
      <c r="B22" s="46" t="inlineStr">
        <is>
          <t>F3/F5</t>
        </is>
      </c>
      <c r="C22" s="46" t="inlineStr">
        <is>
          <t>EP-08 Quality (NFR)</t>
        </is>
      </c>
      <c r="D22" s="46" t="inlineStr">
        <is>
          <t>Book list loads in under 2 seconds</t>
        </is>
      </c>
      <c r="E22" s="46">
        <f>IFERROR(IF(INDEX(8_PlanningPoker!$F$9:$F$28,MATCH(A22,8_PlanningPoker!$A$9:$A$28,0))="","",INDEX(8_PlanningPoker!$F$9:$F$28,MATCH(A22,8_PlanningPoker!$A$9:$A$28,0))),"")</f>
        <v/>
      </c>
      <c r="F22" s="46" t="inlineStr">
        <is>
          <t>Must</t>
        </is>
      </c>
      <c r="G22" s="48" t="inlineStr">
        <is>
          <t>Sprint 3</t>
        </is>
      </c>
      <c r="H22" s="46" t="inlineStr">
        <is>
          <t>Hồ Du Tuấn Đạt</t>
        </is>
      </c>
      <c r="I22" s="46" t="inlineStr">
        <is>
          <t>New – from a v0 US-06 AC [new]</t>
        </is>
      </c>
    </row>
    <row r="23" ht="23.85" customHeight="1" s="38">
      <c r="A23" s="46" t="inlineStr">
        <is>
          <t>US-24</t>
        </is>
      </c>
      <c r="B23" s="46" t="inlineStr">
        <is>
          <t>F1, F2</t>
        </is>
      </c>
      <c r="C23" s="46" t="inlineStr">
        <is>
          <t>EP-01 User Accounts</t>
        </is>
      </c>
      <c r="D23" s="46" t="inlineStr">
        <is>
          <t>CR-06: Store Staff adds/edits books, manages categories and authors; cannot delete books or manage accounts</t>
        </is>
      </c>
      <c r="E23" s="46">
        <f>IFERROR(IF(INDEX(8_PlanningPoker!$F$9:$F$28,MATCH(A23,8_PlanningPoker!$A$9:$A$28,0))="","",INDEX(8_PlanningPoker!$F$9:$F$28,MATCH(A23,8_PlanningPoker!$A$9:$A$28,0))),"")</f>
        <v/>
      </c>
      <c r="F23" s="46" t="inlineStr">
        <is>
          <t>CCB decides</t>
        </is>
      </c>
      <c r="G23" s="48" t="inlineStr">
        <is>
          <t>CR-06</t>
        </is>
      </c>
      <c r="H23" s="46" t="inlineStr">
        <is>
          <t>Hồ Du Tuấn Đạt</t>
        </is>
      </c>
      <c r="I23" s="46" t="inlineStr">
        <is>
          <t>Change Request – Option B: Sprint 2 [new]</t>
        </is>
      </c>
    </row>
    <row r="24" ht="15" customHeight="1" s="38">
      <c r="A24" s="46" t="inlineStr">
        <is>
          <t>US-25</t>
        </is>
      </c>
      <c r="B24" s="46" t="inlineStr">
        <is>
          <t>F2</t>
        </is>
      </c>
      <c r="C24" s="46" t="inlineStr">
        <is>
          <t>EP-03 Book Management</t>
        </is>
      </c>
      <c r="D24" s="46" t="inlineStr">
        <is>
          <t>CR-06: each book shows 'Last updated by … at …'</t>
        </is>
      </c>
      <c r="E24" s="46">
        <f>IFERROR(IF(INDEX(8_PlanningPoker!$F$9:$F$28,MATCH(A24,8_PlanningPoker!$A$9:$A$28,0))="","",INDEX(8_PlanningPoker!$F$9:$F$28,MATCH(A24,8_PlanningPoker!$A$9:$A$28,0))),"")</f>
        <v/>
      </c>
      <c r="F24" s="46" t="inlineStr">
        <is>
          <t>CCB decides</t>
        </is>
      </c>
      <c r="G24" s="48" t="inlineStr">
        <is>
          <t>CR-06</t>
        </is>
      </c>
      <c r="H24" s="46" t="inlineStr">
        <is>
          <t>Hồ Du Tuấn Đạt</t>
        </is>
      </c>
      <c r="I24" s="46" t="inlineStr">
        <is>
          <t>Change Request – Option B: Sprint 3 [new]</t>
        </is>
      </c>
    </row>
    <row r="25" ht="15" customHeight="1" s="38">
      <c r="A25" s="46" t="inlineStr">
        <is>
          <t>R2-01</t>
        </is>
      </c>
      <c r="B25" s="46" t="inlineStr">
        <is>
          <t>—</t>
        </is>
      </c>
      <c r="C25" s="46" t="inlineStr">
        <is>
          <t>Release 2</t>
        </is>
      </c>
      <c r="D25" s="46" t="inlineStr">
        <is>
          <t>Customer profile and shipping addresses</t>
        </is>
      </c>
      <c r="E25" s="46">
        <f>IFERROR(IF(INDEX(8_PlanningPoker!$F$9:$F$28,MATCH(A25,8_PlanningPoker!$A$9:$A$28,0))="","",INDEX(8_PlanningPoker!$F$9:$F$28,MATCH(A25,8_PlanningPoker!$A$9:$A$28,0))),"")</f>
        <v/>
      </c>
      <c r="F25" s="46" t="inlineStr">
        <is>
          <t>Won't (R1.0)</t>
        </is>
      </c>
      <c r="G25" s="48" t="inlineStr">
        <is>
          <t>Future</t>
        </is>
      </c>
      <c r="H25" s="46" t="n"/>
      <c r="I25" s="46" t="inlineStr">
        <is>
          <t>v0 US-04 – supports checkout, out of scope [03 §2.2] [v0: 2 SP]</t>
        </is>
      </c>
    </row>
    <row r="26" ht="15" customHeight="1" s="38">
      <c r="A26" s="46" t="inlineStr">
        <is>
          <t>R2-02</t>
        </is>
      </c>
      <c r="B26" s="46" t="inlineStr">
        <is>
          <t>—</t>
        </is>
      </c>
      <c r="C26" s="46" t="inlineStr">
        <is>
          <t>Release 2</t>
        </is>
      </c>
      <c r="D26" s="46" t="inlineStr">
        <is>
          <t>Shopping cart</t>
        </is>
      </c>
      <c r="E26" s="46">
        <f>IFERROR(IF(INDEX(8_PlanningPoker!$F$9:$F$28,MATCH(A26,8_PlanningPoker!$A$9:$A$28,0))="","",INDEX(8_PlanningPoker!$F$9:$F$28,MATCH(A26,8_PlanningPoker!$A$9:$A$28,0))),"")</f>
        <v/>
      </c>
      <c r="F26" s="46" t="inlineStr">
        <is>
          <t>Won't (R1.0)</t>
        </is>
      </c>
      <c r="G26" s="48" t="inlineStr">
        <is>
          <t>Future</t>
        </is>
      </c>
      <c r="H26" s="46" t="n"/>
      <c r="I26" s="46" t="inlineStr">
        <is>
          <t>v0 US-11 – out of scope [03 §2.2] [v0: 5 SP]</t>
        </is>
      </c>
    </row>
    <row r="27" ht="15" customHeight="1" s="38">
      <c r="A27" s="46" t="inlineStr">
        <is>
          <t>R2-03</t>
        </is>
      </c>
      <c r="B27" s="46" t="inlineStr">
        <is>
          <t>—</t>
        </is>
      </c>
      <c r="C27" s="46" t="inlineStr">
        <is>
          <t>Release 2</t>
        </is>
      </c>
      <c r="D27" s="46" t="inlineStr">
        <is>
          <t>Checkout and online payment</t>
        </is>
      </c>
      <c r="E27" s="46">
        <f>IFERROR(IF(INDEX(8_PlanningPoker!$F$9:$F$28,MATCH(A27,8_PlanningPoker!$A$9:$A$28,0))="","",INDEX(8_PlanningPoker!$F$9:$F$28,MATCH(A27,8_PlanningPoker!$A$9:$A$28,0))),"")</f>
        <v/>
      </c>
      <c r="F27" s="46" t="inlineStr">
        <is>
          <t>Won't (R1.0)</t>
        </is>
      </c>
      <c r="G27" s="48" t="inlineStr">
        <is>
          <t>Future</t>
        </is>
      </c>
      <c r="H27" s="46" t="n"/>
      <c r="I27" s="46" t="inlineStr">
        <is>
          <t>v0 US-12 – out of scope [03 §2.2] [v0: 8 SP]</t>
        </is>
      </c>
    </row>
    <row r="28" ht="15" customHeight="1" s="38">
      <c r="A28" s="46" t="inlineStr">
        <is>
          <t>R2-04</t>
        </is>
      </c>
      <c r="B28" s="46" t="inlineStr">
        <is>
          <t>—</t>
        </is>
      </c>
      <c r="C28" s="46" t="inlineStr">
        <is>
          <t>Release 2</t>
        </is>
      </c>
      <c r="D28" s="46" t="inlineStr">
        <is>
          <t>Order history and tracking</t>
        </is>
      </c>
      <c r="E28" s="46">
        <f>IFERROR(IF(INDEX(8_PlanningPoker!$F$9:$F$28,MATCH(A28,8_PlanningPoker!$A$9:$A$28,0))="","",INDEX(8_PlanningPoker!$F$9:$F$28,MATCH(A28,8_PlanningPoker!$A$9:$A$28,0))),"")</f>
        <v/>
      </c>
      <c r="F28" s="46" t="inlineStr">
        <is>
          <t>Won't (R1.0)</t>
        </is>
      </c>
      <c r="G28" s="48" t="inlineStr">
        <is>
          <t>Future</t>
        </is>
      </c>
      <c r="H28" s="46" t="n"/>
      <c r="I28" s="46" t="inlineStr">
        <is>
          <t>v0 US-13 – depends on checkout [v0: 3 SP]</t>
        </is>
      </c>
    </row>
    <row r="29" ht="15" customHeight="1" s="38">
      <c r="A29" s="46" t="inlineStr">
        <is>
          <t>R2-05</t>
        </is>
      </c>
      <c r="B29" s="46" t="inlineStr">
        <is>
          <t>—</t>
        </is>
      </c>
      <c r="C29" s="46" t="inlineStr">
        <is>
          <t>Release 2</t>
        </is>
      </c>
      <c r="D29" s="46" t="inlineStr">
        <is>
          <t>Staff processes orders</t>
        </is>
      </c>
      <c r="E29" s="46">
        <f>IFERROR(IF(INDEX(8_PlanningPoker!$F$9:$F$28,MATCH(A29,8_PlanningPoker!$A$9:$A$28,0))="","",INDEX(8_PlanningPoker!$F$9:$F$28,MATCH(A29,8_PlanningPoker!$A$9:$A$28,0))),"")</f>
        <v/>
      </c>
      <c r="F29" s="46" t="inlineStr">
        <is>
          <t>Won't (R1.0)</t>
        </is>
      </c>
      <c r="G29" s="48" t="inlineStr">
        <is>
          <t>Future</t>
        </is>
      </c>
      <c r="H29" s="46" t="n"/>
      <c r="I29" s="46" t="inlineStr">
        <is>
          <t>v0 US-14 – depends on checkout [v0: 5 SP]</t>
        </is>
      </c>
    </row>
    <row r="30" ht="15" customHeight="1" s="38">
      <c r="A30" s="46" t="inlineStr">
        <is>
          <t>R2-06</t>
        </is>
      </c>
      <c r="B30" s="46" t="inlineStr">
        <is>
          <t>—</t>
        </is>
      </c>
      <c r="C30" s="46" t="inlineStr">
        <is>
          <t>Release 2</t>
        </is>
      </c>
      <c r="D30" s="46" t="inlineStr">
        <is>
          <t>Promotions and discount codes</t>
        </is>
      </c>
      <c r="E30" s="46">
        <f>IFERROR(IF(INDEX(8_PlanningPoker!$F$9:$F$28,MATCH(A30,8_PlanningPoker!$A$9:$A$28,0))="","",INDEX(8_PlanningPoker!$F$9:$F$28,MATCH(A30,8_PlanningPoker!$A$9:$A$28,0))),"")</f>
        <v/>
      </c>
      <c r="F30" s="46" t="inlineStr">
        <is>
          <t>Won't (R1.0)</t>
        </is>
      </c>
      <c r="G30" s="48" t="inlineStr">
        <is>
          <t>Future</t>
        </is>
      </c>
      <c r="H30" s="46" t="n"/>
      <c r="I30" s="46" t="inlineStr">
        <is>
          <t>v0 US-15/16 (5 + 3) – depends on checkout [v0: 8 SP]</t>
        </is>
      </c>
    </row>
    <row r="31" ht="15" customHeight="1" s="38">
      <c r="A31" s="46" t="inlineStr">
        <is>
          <t>R2-07</t>
        </is>
      </c>
      <c r="B31" s="46" t="inlineStr">
        <is>
          <t>—</t>
        </is>
      </c>
      <c r="C31" s="46" t="inlineStr">
        <is>
          <t>Release 2</t>
        </is>
      </c>
      <c r="D31" s="46" t="inlineStr">
        <is>
          <t>Multi-store inventory and in-store pickup</t>
        </is>
      </c>
      <c r="E31" s="46">
        <f>IFERROR(IF(INDEX(8_PlanningPoker!$F$9:$F$28,MATCH(A31,8_PlanningPoker!$A$9:$A$28,0))="","",INDEX(8_PlanningPoker!$F$9:$F$28,MATCH(A31,8_PlanningPoker!$A$9:$A$28,0))),"")</f>
        <v/>
      </c>
      <c r="F31" s="46" t="inlineStr">
        <is>
          <t>Won't (R1.0)</t>
        </is>
      </c>
      <c r="G31" s="48" t="inlineStr">
        <is>
          <t>Future</t>
        </is>
      </c>
      <c r="H31" s="46" t="n"/>
      <c r="I31" s="46" t="inlineStr">
        <is>
          <t>v0 US-17/18 (8 + 5) – not in F1–F5 [v0: 13 SP]</t>
        </is>
      </c>
    </row>
    <row r="32" ht="15" customHeight="1" s="38">
      <c r="A32" s="46" t="inlineStr">
        <is>
          <t>R2-08</t>
        </is>
      </c>
      <c r="B32" s="46" t="inlineStr">
        <is>
          <t>—</t>
        </is>
      </c>
      <c r="C32" s="46" t="inlineStr">
        <is>
          <t>Release 2</t>
        </is>
      </c>
      <c r="D32" s="46" t="inlineStr">
        <is>
          <t>Ratings and reviews</t>
        </is>
      </c>
      <c r="E32" s="46">
        <f>IFERROR(IF(INDEX(8_PlanningPoker!$F$9:$F$28,MATCH(A32,8_PlanningPoker!$A$9:$A$28,0))="","",INDEX(8_PlanningPoker!$F$9:$F$28,MATCH(A32,8_PlanningPoker!$A$9:$A$28,0))),"")</f>
        <v/>
      </c>
      <c r="F32" s="46" t="inlineStr">
        <is>
          <t>Won't (R1.0)</t>
        </is>
      </c>
      <c r="G32" s="48" t="inlineStr">
        <is>
          <t>Future</t>
        </is>
      </c>
      <c r="H32" s="46" t="n"/>
      <c r="I32" s="46" t="inlineStr">
        <is>
          <t>v0 US-19 – not in F1–F5 [v0: 5 SP]</t>
        </is>
      </c>
    </row>
    <row r="33" ht="15" customHeight="1" s="38">
      <c r="A33" s="46" t="inlineStr">
        <is>
          <t>R2-09</t>
        </is>
      </c>
      <c r="B33" s="46" t="inlineStr">
        <is>
          <t>—</t>
        </is>
      </c>
      <c r="C33" s="46" t="inlineStr">
        <is>
          <t>Release 2</t>
        </is>
      </c>
      <c r="D33" s="46" t="inlineStr">
        <is>
          <t>Wishlist</t>
        </is>
      </c>
      <c r="E33" s="46">
        <f>IFERROR(IF(INDEX(8_PlanningPoker!$F$9:$F$28,MATCH(A33,8_PlanningPoker!$A$9:$A$28,0))="","",INDEX(8_PlanningPoker!$F$9:$F$28,MATCH(A33,8_PlanningPoker!$A$9:$A$28,0))),"")</f>
        <v/>
      </c>
      <c r="F33" s="46" t="inlineStr">
        <is>
          <t>Won't (R1.0)</t>
        </is>
      </c>
      <c r="G33" s="48" t="inlineStr">
        <is>
          <t>Future</t>
        </is>
      </c>
      <c r="H33" s="46" t="n"/>
      <c r="I33" s="46" t="inlineStr">
        <is>
          <t>v0 US-20 – not in F1–F5 [v0: 2 SP]</t>
        </is>
      </c>
    </row>
    <row r="34" ht="15" customHeight="1" s="38">
      <c r="A34" s="46" t="inlineStr">
        <is>
          <t>R2-10</t>
        </is>
      </c>
      <c r="B34" s="46" t="inlineStr">
        <is>
          <t>—</t>
        </is>
      </c>
      <c r="C34" s="46" t="inlineStr">
        <is>
          <t>Release 2</t>
        </is>
      </c>
      <c r="D34" s="46" t="inlineStr">
        <is>
          <t>Brand style guide, recommendations, password reset by email</t>
        </is>
      </c>
      <c r="E34" s="46">
        <f>IFERROR(IF(INDEX(8_PlanningPoker!$F$9:$F$28,MATCH(A34,8_PlanningPoker!$A$9:$A$28,0))="","",INDEX(8_PlanningPoker!$F$9:$F$28,MATCH(A34,8_PlanningPoker!$A$9:$A$28,0))),"")</f>
        <v/>
      </c>
      <c r="F34" s="46" t="inlineStr">
        <is>
          <t>Won't (R1.0)</t>
        </is>
      </c>
      <c r="G34" s="48" t="inlineStr">
        <is>
          <t>Future</t>
        </is>
      </c>
      <c r="H34" s="46" t="n"/>
      <c r="I34" s="46" t="inlineStr">
        <is>
          <t>v0 US-22, US-23, US-02 reset (3 + 8 + –) – not in F1–F5 [v0: 11 SP]</t>
        </is>
      </c>
    </row>
    <row r="36" ht="15" customHeight="1" s="38">
      <c r="D36" s="63" t="inlineStr">
        <is>
          <t>Summary</t>
        </is>
      </c>
    </row>
    <row r="37" ht="15" customHeight="1" s="38">
      <c r="D37" s="45" t="inlineStr">
        <is>
          <t>Sprint</t>
        </is>
      </c>
      <c r="E37" s="45" t="inlineStr">
        <is>
          <t>SP</t>
        </is>
      </c>
      <c r="F37" s="45" t="inlineStr">
        <is>
          <t>Items</t>
        </is>
      </c>
    </row>
    <row r="38" ht="15" customHeight="1" s="38">
      <c r="D38" s="46" t="inlineStr">
        <is>
          <t>Sprint 1</t>
        </is>
      </c>
      <c r="E38" s="46">
        <f>IF(SUMPRODUCT(--($G$5:$G$34=D38),--($E$5:$E$34=""))&gt;0,"TBD",SUMIFS($E$5:$E$34,$G$5:$G$34,D38))</f>
        <v/>
      </c>
      <c r="F38" s="46">
        <f>COUNTIFS($G$5:$G$34,D38)</f>
        <v/>
      </c>
    </row>
    <row r="39" ht="15" customHeight="1" s="38">
      <c r="D39" s="46" t="inlineStr">
        <is>
          <t>Sprint 2</t>
        </is>
      </c>
      <c r="E39" s="46">
        <f>IF(SUMPRODUCT(--($G$5:$G$34=D39),--($E$5:$E$34=""))&gt;0,"TBD",SUMIFS($E$5:$E$34,$G$5:$G$34,D39))</f>
        <v/>
      </c>
      <c r="F39" s="46">
        <f>COUNTIFS($G$5:$G$34,D39)</f>
        <v/>
      </c>
    </row>
    <row r="40" ht="15" customHeight="1" s="38">
      <c r="D40" s="46" t="inlineStr">
        <is>
          <t>Sprint 3</t>
        </is>
      </c>
      <c r="E40" s="46">
        <f>IF(SUMPRODUCT(--($G$5:$G$34=D40),--($E$5:$E$34=""))&gt;0,"TBD",SUMIFS($E$5:$E$34,$G$5:$G$34,D40))</f>
        <v/>
      </c>
      <c r="F40" s="46">
        <f>COUNTIFS($G$5:$G$34,D40)</f>
        <v/>
      </c>
    </row>
    <row r="41" ht="15" customHeight="1" s="38">
      <c r="D41" s="46" t="inlineStr">
        <is>
          <t>CR-06</t>
        </is>
      </c>
      <c r="E41" s="46">
        <f>IF(SUMPRODUCT(--($G$5:$G$34=D41),--($E$5:$E$34=""))&gt;0,"TBD",SUMIFS($E$5:$E$34,$G$5:$G$34,D41))</f>
        <v/>
      </c>
      <c r="F41" s="46">
        <f>COUNTIFS($G$5:$G$34,D41)</f>
        <v/>
      </c>
    </row>
    <row r="42" ht="15" customHeight="1" s="38">
      <c r="D42" s="46" t="inlineStr">
        <is>
          <t>Future</t>
        </is>
      </c>
      <c r="E42" s="46" t="inlineStr">
        <is>
          <t>—</t>
        </is>
      </c>
      <c r="F42" s="46">
        <f>COUNTIFS($G$5:$G$34,D42)</f>
        <v/>
      </c>
    </row>
    <row r="43" ht="15" customHeight="1" s="38">
      <c r="D43" s="41" t="inlineStr">
        <is>
          <t>Release 1.0 total (PSP) = Sprints 1–3</t>
        </is>
      </c>
      <c r="E43" s="41">
        <f>IF(COUNT(E38:E40)=3,SUM(E38:E40),"TBD")</f>
        <v/>
      </c>
      <c r="F43" s="41">
        <f>SUM(F38:F40)</f>
        <v/>
      </c>
    </row>
    <row r="44" ht="15" customHeight="1" s="38">
      <c r="D44" s="41" t="inlineStr">
        <is>
          <t>Total backlog items (required ≥ 15)</t>
        </is>
      </c>
      <c r="F44" s="41">
        <f>COUNTA(A5:A34)</f>
        <v/>
      </c>
      <c r="G44" s="41">
        <f>IF(F44&gt;=15,"Met","Not met")</f>
        <v/>
      </c>
    </row>
  </sheetData>
  <dataValidations count="1">
    <dataValidation sqref="G5:G34" showDropDown="0" showInputMessage="0" showErrorMessage="0" allowBlank="1" type="list" errorStyle="stop" operator="between">
      <formula1>"Sprint 1,Sprint 2,Sprint 3,CR-06,Future"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37" min="1" max="1"/>
    <col width="16" customWidth="1" style="37" min="2" max="2"/>
    <col width="44" customWidth="1" style="37" min="3" max="3"/>
    <col width="52" customWidth="1" style="37" min="4" max="4"/>
    <col width="22" customWidth="1" style="37" min="5" max="5"/>
    <col width="10" customWidth="1" style="37" min="6" max="6"/>
    <col width="11" customWidth="1" style="37" min="7" max="7"/>
    <col width="13" customWidth="1" style="37" min="8" max="8"/>
    <col width="10" customWidth="1" style="37" min="9" max="9"/>
    <col width="15" customWidth="1" style="37" min="10" max="12"/>
  </cols>
  <sheetData>
    <row r="1" ht="17.35" customHeight="1" s="38">
      <c r="A1" s="39" t="inlineStr">
        <is>
          <t>RELEASE PLAN, CAPACITY &amp; BUDGET (BAC)</t>
        </is>
      </c>
    </row>
    <row r="2" ht="15" customHeight="1" s="38">
      <c r="A2" s="40" t="inlineStr">
        <is>
          <t>Same figures as pm/pmp/03-master-release-plan.md §3.5–3.6. Yellow = inputs; blue = sourced constants; all other cells are formulas.</t>
        </is>
      </c>
    </row>
    <row r="4" ht="15" customHeight="1" s="38">
      <c r="A4" s="44" t="inlineStr">
        <is>
          <t>Assumptions</t>
        </is>
      </c>
    </row>
    <row r="5" ht="15" customHeight="1" s="38">
      <c r="A5" s="46" t="inlineStr">
        <is>
          <t>Team members</t>
        </is>
      </c>
      <c r="B5" s="64" t="n">
        <v>2</v>
      </c>
      <c r="C5" s="46" t="inlineStr">
        <is>
          <t>Hồ Du Tuấn Đạt, Nguyễn Minh Chính</t>
        </is>
      </c>
    </row>
    <row r="6" ht="35.05" customHeight="1" s="38">
      <c r="A6" s="46" t="inlineStr">
        <is>
          <t>Hours / person / Sprint (planned capacity)</t>
        </is>
      </c>
      <c r="B6" s="65" t="n">
        <v>20</v>
      </c>
      <c r="C6" s="46" t="inlineStr">
        <is>
          <t>4 focus h/day × 5 working days (Fri, Mon–Thu) – PMP-3 §3.5 scenario, adopted by the PO on 30/10/2026; Đạt to confirm (plan/INPUTS.md §2)</t>
        </is>
      </c>
    </row>
    <row r="7" ht="15" customHeight="1" s="38">
      <c r="A7" s="46" t="inlineStr">
        <is>
          <t>Number of Sprints (N)</t>
        </is>
      </c>
      <c r="B7" s="64" t="n">
        <v>3</v>
      </c>
      <c r="C7" s="46" t="inlineStr">
        <is>
          <t>Per the spec [03 §5]</t>
        </is>
      </c>
    </row>
    <row r="8" ht="15" customHeight="1" s="38">
      <c r="A8" s="46" t="inlineStr">
        <is>
          <t>Rate (VND / person-hour)</t>
        </is>
      </c>
      <c r="B8" s="64" t="n">
        <v>200000</v>
      </c>
      <c r="C8" s="46" t="inlineStr">
        <is>
          <t>Per the spec – AgileEVM [03 §6.4]</t>
        </is>
      </c>
    </row>
    <row r="9" ht="15" customHeight="1" s="38">
      <c r="A9" s="46" t="inlineStr">
        <is>
          <t>Team capacity per Sprint (h)</t>
        </is>
      </c>
      <c r="B9" s="62">
        <f>B5*B6</f>
        <v/>
      </c>
      <c r="C9" s="46" t="inlineStr">
        <is>
          <t>Members × hours per person</t>
        </is>
      </c>
    </row>
    <row r="11" ht="35.05" customHeight="1" s="38">
      <c r="A11" s="46" t="inlineStr">
        <is>
          <t>Expected velocity (SP / Sprint)</t>
        </is>
      </c>
      <c r="B11" s="62">
        <f>IF(ISNUMBER(B24),ROUND(B24/B7,1),"TBD")</f>
        <v/>
      </c>
      <c r="C11" s="46" t="inlineStr">
        <is>
          <t>PSP ÷ 3 Sprints (PMP-3 §3.5); replaced by the ACTUAL velocity from Sprint Planning 2 on [03 §6.2 item 1]</t>
        </is>
      </c>
    </row>
    <row r="13" ht="15" customHeight="1" s="38">
      <c r="A13" s="44" t="inlineStr">
        <is>
          <t>Plan per Sprint</t>
        </is>
      </c>
    </row>
    <row r="14" ht="23.85" customHeight="1" s="38">
      <c r="A14" s="45" t="inlineStr">
        <is>
          <t>Sprint</t>
        </is>
      </c>
      <c r="B14" s="45" t="inlineStr">
        <is>
          <t>Dates</t>
        </is>
      </c>
      <c r="C14" s="45" t="inlineStr">
        <is>
          <t>Leader</t>
        </is>
      </c>
      <c r="D14" s="45" t="inlineStr">
        <is>
          <t>Sprint Goal</t>
        </is>
      </c>
      <c r="E14" s="45" t="inlineStr">
        <is>
          <t>Features</t>
        </is>
      </c>
      <c r="F14" s="45" t="inlineStr">
        <is>
          <t>Planned SP</t>
        </is>
      </c>
      <c r="G14" s="45" t="inlineStr">
        <is>
          <t>Capacity (h)</t>
        </is>
      </c>
      <c r="H14" s="45" t="inlineStr">
        <is>
          <t>WBS planned effort (h)</t>
        </is>
      </c>
      <c r="I14" s="45" t="inlineStr">
        <is>
          <t>Hours / SP</t>
        </is>
      </c>
      <c r="J14" s="45" t="inlineStr">
        <is>
          <t>Cumulative PV (VND)</t>
        </is>
      </c>
      <c r="K14" s="45" t="inlineStr">
        <is>
          <t>SP vs. velocity</t>
        </is>
      </c>
      <c r="L14" s="45" t="inlineStr">
        <is>
          <t>Hours vs. capacity</t>
        </is>
      </c>
    </row>
    <row r="15" ht="63.75" customHeight="1" s="38">
      <c r="A15" s="46" t="inlineStr">
        <is>
          <t>Sprint 1</t>
        </is>
      </c>
      <c r="B15" s="46" t="inlineStr">
        <is>
          <t>23/10 – 29/10</t>
        </is>
      </c>
      <c r="C15" s="46" t="inlineStr">
        <is>
          <t>Hồ Du Tuấn Đạt</t>
        </is>
      </c>
      <c r="D15" s="46">
        <f>2_MasterSchedule!F5</f>
        <v/>
      </c>
      <c r="E15" s="46" t="inlineStr">
        <is>
          <t>F1 + hosting</t>
        </is>
      </c>
      <c r="F15" s="46">
        <f>3_ItemAllocation!E38</f>
        <v/>
      </c>
      <c r="G15" s="57">
        <f>$B$9</f>
        <v/>
      </c>
      <c r="H15" s="57">
        <f>2_MasterSchedule!E5</f>
        <v/>
      </c>
      <c r="I15" s="57">
        <f>IF(ISNUMBER(F15),IF(F15&gt;0,H15/F15,"TBD"),"TBD")</f>
        <v/>
      </c>
      <c r="J15" s="66">
        <f>$B$23*1/$B$7</f>
        <v/>
      </c>
      <c r="K15" s="46">
        <f>IF(AND(ISNUMBER(F15),ISNUMBER($B$11)),IF(F15&lt;=$B$11,"Within velocity","Over velocity"),"TBD")</f>
        <v/>
      </c>
      <c r="L15" s="46">
        <f>IF(H15&lt;=G15,"Within capacity","Over capacity")</f>
        <v/>
      </c>
    </row>
    <row r="16" ht="63.75" customHeight="1" s="38">
      <c r="A16" s="46" t="inlineStr">
        <is>
          <t>Sprint 2</t>
        </is>
      </c>
      <c r="B16" s="46" t="inlineStr">
        <is>
          <t>30/10 – 05/11</t>
        </is>
      </c>
      <c r="C16" s="46" t="inlineStr">
        <is>
          <t>Nguyễn Minh Chính (PO)</t>
        </is>
      </c>
      <c r="D16" s="46">
        <f>2_MasterSchedule!F25</f>
        <v/>
      </c>
      <c r="E16" s="46" t="inlineStr">
        <is>
          <t>F2, F3 (+ CR-06 US-24 if approved)</t>
        </is>
      </c>
      <c r="F16" s="46">
        <f>3_ItemAllocation!E39</f>
        <v/>
      </c>
      <c r="G16" s="57">
        <f>$B$9</f>
        <v/>
      </c>
      <c r="H16" s="57">
        <f>2_MasterSchedule!E25</f>
        <v/>
      </c>
      <c r="I16" s="57">
        <f>IF(ISNUMBER(F16),IF(F16&gt;0,H16/F16,"TBD"),"TBD")</f>
        <v/>
      </c>
      <c r="J16" s="66">
        <f>$B$23*2/$B$7</f>
        <v/>
      </c>
      <c r="K16" s="46">
        <f>IF(AND(ISNUMBER(F16),ISNUMBER($B$11)),IF(F16&lt;=$B$11,"Within velocity","Over velocity"),"TBD")</f>
        <v/>
      </c>
      <c r="L16" s="46">
        <f>IF(H16&lt;=G16,"Within capacity","Over capacity")</f>
        <v/>
      </c>
    </row>
    <row r="17" ht="63.75" customHeight="1" s="38">
      <c r="A17" s="46" t="inlineStr">
        <is>
          <t>Sprint 3</t>
        </is>
      </c>
      <c r="B17" s="46" t="inlineStr">
        <is>
          <t>06/11 – 12/11</t>
        </is>
      </c>
      <c r="C17" s="46" t="inlineStr">
        <is>
          <t>Hồ Du Tuấn Đạt</t>
        </is>
      </c>
      <c r="D17" s="46">
        <f>2_MasterSchedule!F54</f>
        <v/>
      </c>
      <c r="E17" s="46" t="inlineStr">
        <is>
          <t>F4, F5 (+ CR-06 US-25 if approved) + Release v1.0</t>
        </is>
      </c>
      <c r="F17" s="46">
        <f>3_ItemAllocation!E40</f>
        <v/>
      </c>
      <c r="G17" s="57">
        <f>$B$9</f>
        <v/>
      </c>
      <c r="H17" s="57">
        <f>2_MasterSchedule!E54</f>
        <v/>
      </c>
      <c r="I17" s="57">
        <f>IF(ISNUMBER(F17),IF(F17&gt;0,H17/F17,"TBD"),"TBD")</f>
        <v/>
      </c>
      <c r="J17" s="66">
        <f>$B$23*3/$B$7</f>
        <v/>
      </c>
      <c r="K17" s="46">
        <f>IF(AND(ISNUMBER(F17),ISNUMBER($B$11)),IF(F17&lt;=$B$11,"Within velocity","Over velocity"),"TBD")</f>
        <v/>
      </c>
      <c r="L17" s="46">
        <f>IF(H17&lt;=G17,"Within capacity","Over capacity")</f>
        <v/>
      </c>
    </row>
    <row r="18" ht="15" customHeight="1" s="38">
      <c r="A18" s="41" t="inlineStr">
        <is>
          <t>Total</t>
        </is>
      </c>
      <c r="F18" s="41">
        <f>IF(COUNT(F15:F17)=3,SUM(F15:F17),"TBD")</f>
        <v/>
      </c>
      <c r="G18" s="62">
        <f>SUM(G15:G17)</f>
        <v/>
      </c>
      <c r="H18" s="62">
        <f>SUM(H15:H17)</f>
        <v/>
      </c>
    </row>
    <row r="19" ht="15" customHeight="1" s="38">
      <c r="A19" s="40" t="inlineStr">
        <is>
          <t>Sprint 1 planned 48 h against 40 h capacity: the overload is recorded, not hidden (S1_Backlog PO note, issue I-01). Sprints 2 and 3 are planned within capacity.</t>
        </is>
      </c>
    </row>
    <row r="21" ht="15" customHeight="1" s="38">
      <c r="A21" s="44" t="inlineStr">
        <is>
          <t>Baseline metrics</t>
        </is>
      </c>
    </row>
    <row r="22" ht="15" customHeight="1" s="38">
      <c r="A22" s="45" t="inlineStr">
        <is>
          <t>Metric</t>
        </is>
      </c>
      <c r="B22" s="45" t="inlineStr">
        <is>
          <t>Value</t>
        </is>
      </c>
      <c r="C22" s="45" t="inlineStr">
        <is>
          <t>Formula / note</t>
        </is>
      </c>
    </row>
    <row r="23" ht="23.85" customHeight="1" s="38">
      <c r="A23" s="46" t="inlineStr">
        <is>
          <t>BAC (VND) = planned person-hours of the release × rate</t>
        </is>
      </c>
      <c r="B23" s="67">
        <f>B9*B7*B8</f>
        <v/>
      </c>
      <c r="C23" s="46" t="inlineStr">
        <is>
          <t>40 h × 3 Sprints = 120 h × 200,000 VND (PMP-3 §3.6, plan)</t>
        </is>
      </c>
    </row>
    <row r="24" ht="15" customHeight="1" s="38">
      <c r="A24" s="46" t="inlineStr">
        <is>
          <t>PSP – total planned Story Points of Release 1.0</t>
        </is>
      </c>
      <c r="B24" s="41">
        <f>F18</f>
        <v/>
      </c>
      <c r="C24" s="46" t="inlineStr">
        <is>
          <t>PO estimates 30/10/2026, no voting rounds (sheet 8)</t>
        </is>
      </c>
    </row>
    <row r="25" ht="15" customHeight="1" s="38">
      <c r="A25" s="46" t="inlineStr">
        <is>
          <t>PSP matches sheet 3</t>
        </is>
      </c>
      <c r="B25" s="46">
        <f>IF(B24=3_ItemAllocation!E43,"Match","Mismatch")</f>
        <v/>
      </c>
    </row>
    <row r="26" ht="23.85" customHeight="1" s="38">
      <c r="A26" s="46" t="inlineStr">
        <is>
          <t>WBS task hours Sprints 1–3 (cross-check)</t>
        </is>
      </c>
      <c r="B26" s="57">
        <f>H18</f>
        <v/>
      </c>
      <c r="C26" s="46" t="inlineStr">
        <is>
          <t>Sum of task estimates; differs from 120 h because Sprint 1 was overloaded</t>
        </is>
      </c>
    </row>
    <row r="27" ht="15" customHeight="1" s="38">
      <c r="A27" s="46" t="inlineStr">
        <is>
          <t>Closure effort (h) – outside BAC</t>
        </is>
      </c>
      <c r="B27" s="57">
        <f>2_MasterSchedule!E87</f>
        <v/>
      </c>
      <c r="C27" s="46" t="inlineStr">
        <is>
          <t>13/11 – 17/11, after the 3 Sprints</t>
        </is>
      </c>
    </row>
    <row r="29" ht="15" customHeight="1" s="38">
      <c r="A29" s="44" t="inlineStr">
        <is>
          <t>Rebaseline after CR-06 (only if the CCB approves)</t>
        </is>
      </c>
    </row>
    <row r="30" ht="15" customHeight="1" s="38">
      <c r="A30" s="45" t="inlineStr">
        <is>
          <t>Item</t>
        </is>
      </c>
      <c r="B30" s="45" t="inlineStr">
        <is>
          <t>Value</t>
        </is>
      </c>
      <c r="C30" s="45" t="inlineStr">
        <is>
          <t>Source / note</t>
        </is>
      </c>
    </row>
    <row r="31" ht="23.85" customHeight="1" s="38">
      <c r="A31" s="46" t="inlineStr">
        <is>
          <t>CCB decision</t>
        </is>
      </c>
      <c r="B31" s="48" t="inlineStr">
        <is>
          <t>Pending</t>
        </is>
      </c>
      <c r="C31" s="46" t="inlineStr">
        <is>
          <t>Team recommendation: Option B (PO, 30/10/2026). Enter the Sponsor's decision after the CCB</t>
        </is>
      </c>
    </row>
    <row r="32" ht="23.85" customHeight="1" s="38">
      <c r="A32" s="46" t="inlineStr">
        <is>
          <t>CR-06 hours added</t>
        </is>
      </c>
      <c r="B32" s="68" t="n">
        <v>12</v>
      </c>
      <c r="C32" s="46" t="inlineStr">
        <is>
          <t>pm/change/CR-06-impact-analysis.md §2.2 – Option B: 8.5 h in S2 + 3.5 h in S3</t>
        </is>
      </c>
    </row>
    <row r="33" ht="15" customHeight="1" s="38">
      <c r="A33" s="46" t="inlineStr">
        <is>
          <t>BAC v1.1 (VND)</t>
        </is>
      </c>
      <c r="B33" s="67">
        <f>IF(B31="Approved",B23+B32*B8,"n/a")</f>
        <v/>
      </c>
      <c r="C33" s="46" t="inlineStr">
        <is>
          <t>Baseline v1.0 is kept; v1.1 is added [03 §6.2 item 3]</t>
        </is>
      </c>
    </row>
    <row r="34" ht="15" customHeight="1" s="38">
      <c r="A34" s="46" t="inlineStr">
        <is>
          <t>PSP v1.1 (SP)</t>
        </is>
      </c>
      <c r="B34" s="41">
        <f>IF(B31="Approved",IF(AND(ISNUMBER(B24),ISNUMBER(3_ItemAllocation!E41)),B24+3_ItemAllocation!E41,"TBD"),"n/a")</f>
        <v/>
      </c>
    </row>
    <row r="36" ht="15" customHeight="1" s="38">
      <c r="A36" s="40" t="inlineStr">
        <is>
          <t>Note: Sprint Planning 2 and 3 use the ACTUAL velocity of the previous Sprint, not the expected figure [03 §6.2 item 1]. A 2-member team adjusts capacity and the plan, never the F1–F5 scope [03 §2.2].</t>
        </is>
      </c>
    </row>
  </sheetData>
  <dataValidations count="1">
    <dataValidation sqref="B31" showDropDown="0" showInputMessage="0" showErrorMessage="0" allowBlank="0" type="list" errorStyle="stop" operator="between">
      <formula1>"Pending,Approved,Rejected,Deferred"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7" min="1" max="1"/>
    <col width="26" customWidth="1" style="37" min="2" max="3"/>
    <col width="48" customWidth="1" style="37" min="4" max="4"/>
  </cols>
  <sheetData>
    <row r="1" ht="17.35" customHeight="1" s="38">
      <c r="A1" s="39" t="inlineStr">
        <is>
          <t>ROLES &amp; DOCUMENT RESPONSIBILITIES</t>
        </is>
      </c>
    </row>
    <row r="2" ht="15" customHeight="1" s="38">
      <c r="A2" s="40" t="inlineStr">
        <is>
          <t>A = accountable (one per row) · R = does the work · C = consulted / reviews · I = informed</t>
        </is>
      </c>
    </row>
    <row r="4" ht="15" customHeight="1" s="38">
      <c r="A4" s="45" t="inlineStr">
        <is>
          <t>Item</t>
        </is>
      </c>
      <c r="B4" s="45" t="inlineStr">
        <is>
          <t>Hồ Du Tuấn Đạt</t>
        </is>
      </c>
      <c r="C4" s="45" t="inlineStr">
        <is>
          <t>Nguyễn Minh Chính</t>
        </is>
      </c>
      <c r="D4" s="45" t="inlineStr">
        <is>
          <t>Notes</t>
        </is>
      </c>
    </row>
    <row r="5" ht="23.85" customHeight="1" s="38">
      <c r="A5" s="46" t="inlineStr">
        <is>
          <t>Scrum role</t>
        </is>
      </c>
      <c r="B5" s="46" t="inlineStr">
        <is>
          <t>Developer; Sprint Leader S1, S3</t>
        </is>
      </c>
      <c r="C5" s="46" t="inlineStr">
        <is>
          <t>Product Owner + Developer; Sprint Leader S2</t>
        </is>
      </c>
      <c r="D5" s="46" t="inlineStr">
        <is>
          <t>Fixed PO, rotating Leader [03 §4.1]</t>
        </is>
      </c>
    </row>
    <row r="6" ht="15" customHeight="1" s="38">
      <c r="A6" s="46" t="inlineStr">
        <is>
          <t>PMP 1 – Project Charter</t>
        </is>
      </c>
      <c r="B6" s="46" t="inlineStr">
        <is>
          <t>C</t>
        </is>
      </c>
      <c r="C6" s="46" t="inlineStr">
        <is>
          <t>A/R</t>
        </is>
      </c>
      <c r="D6" s="46" t="inlineStr">
        <is>
          <t>From Lab 1–2 (Chính was Project Lead / BA)</t>
        </is>
      </c>
    </row>
    <row r="7" ht="15" customHeight="1" s="38">
      <c r="A7" s="46" t="inlineStr">
        <is>
          <t>PMP 2 – Tailored Scrum process</t>
        </is>
      </c>
      <c r="B7" s="46" t="inlineStr">
        <is>
          <t>A/R</t>
        </is>
      </c>
      <c r="C7" s="46" t="inlineStr">
        <is>
          <t>C</t>
        </is>
      </c>
      <c r="D7" s="46" t="inlineStr">
        <is>
          <t>From TA Process.docx</t>
        </is>
      </c>
    </row>
    <row r="8" ht="15" customHeight="1" s="38">
      <c r="A8" s="46" t="inlineStr">
        <is>
          <t>PMP 3 – Master / Release Plan</t>
        </is>
      </c>
      <c r="B8" s="46" t="inlineStr">
        <is>
          <t>C</t>
        </is>
      </c>
      <c r="C8" s="46" t="inlineStr">
        <is>
          <t>A/R</t>
        </is>
      </c>
      <c r="D8" s="46" t="inlineStr">
        <is>
          <t>This workbook</t>
        </is>
      </c>
    </row>
    <row r="9" ht="15" customHeight="1" s="38">
      <c r="A9" s="46" t="inlineStr">
        <is>
          <t>PMP 4 – Quality plan (3-level DoD, metrics)</t>
        </is>
      </c>
      <c r="B9" s="46" t="inlineStr">
        <is>
          <t>C</t>
        </is>
      </c>
      <c r="C9" s="46" t="inlineStr">
        <is>
          <t>A/R</t>
        </is>
      </c>
      <c r="D9" s="46" t="inlineStr">
        <is>
          <t>PO accepts Done items</t>
        </is>
      </c>
    </row>
    <row r="10" ht="15" customHeight="1" s="38">
      <c r="A10" s="46" t="inlineStr">
        <is>
          <t>PMP 5 – Risk management plan</t>
        </is>
      </c>
      <c r="B10" s="46" t="inlineStr">
        <is>
          <t>A/R</t>
        </is>
      </c>
      <c r="C10" s="46" t="inlineStr">
        <is>
          <t>C</t>
        </is>
      </c>
      <c r="D10" s="46" t="inlineStr">
        <is>
          <t>Risks reviewed every Sprint</t>
        </is>
      </c>
    </row>
    <row r="11" ht="15" customHeight="1" s="38">
      <c r="A11" s="46" t="inlineStr">
        <is>
          <t>PMP 6 – Configuration management plan</t>
        </is>
      </c>
      <c r="B11" s="46" t="inlineStr">
        <is>
          <t>A/R</t>
        </is>
      </c>
      <c r="C11" s="46" t="inlineStr">
        <is>
          <t>C</t>
        </is>
      </c>
      <c r="D11" s="46" t="inlineStr">
        <is>
          <t>Repo owner</t>
        </is>
      </c>
    </row>
    <row r="12" ht="15" customHeight="1" s="38">
      <c r="A12" s="46" t="inlineStr">
        <is>
          <t>PMP 7 – Communication plan</t>
        </is>
      </c>
      <c r="B12" s="46" t="inlineStr">
        <is>
          <t>A/R</t>
        </is>
      </c>
      <c r="C12" s="46" t="inlineStr">
        <is>
          <t>C</t>
        </is>
      </c>
      <c r="D12" s="46" t="inlineStr">
        <is>
          <t>From Lab 1 §4 (Đạt) and Assign.xlsx</t>
        </is>
      </c>
    </row>
    <row r="13" ht="15" customHeight="1" s="38">
      <c r="A13" s="46" t="inlineStr">
        <is>
          <t>Product Backlog, AC, Definition of Ready</t>
        </is>
      </c>
      <c r="B13" s="46" t="inlineStr">
        <is>
          <t>C</t>
        </is>
      </c>
      <c r="C13" s="46" t="inlineStr">
        <is>
          <t>A/R</t>
        </is>
      </c>
      <c r="D13" s="46" t="inlineStr">
        <is>
          <t>PO orders the backlog</t>
        </is>
      </c>
    </row>
    <row r="14" ht="15" customHeight="1" s="38">
      <c r="A14" s="46" t="inlineStr">
        <is>
          <t>Planning Poker (log + evidence)</t>
        </is>
      </c>
      <c r="B14" s="46" t="inlineStr">
        <is>
          <t>R</t>
        </is>
      </c>
      <c r="C14" s="46" t="inlineStr">
        <is>
          <t>A/R</t>
        </is>
      </c>
      <c r="D14" s="46" t="inlineStr">
        <is>
          <t>Both vote; PO reads the stories</t>
        </is>
      </c>
    </row>
    <row r="15" ht="15" customHeight="1" s="38">
      <c r="A15" s="46" t="inlineStr">
        <is>
          <t>Sprint Backlog + Jira (each Sprint)</t>
        </is>
      </c>
      <c r="B15" s="46" t="inlineStr">
        <is>
          <t>A/R in S1, S3</t>
        </is>
      </c>
      <c r="C15" s="46" t="inlineStr">
        <is>
          <t>A/R in S2</t>
        </is>
      </c>
      <c r="D15" s="46" t="inlineStr">
        <is>
          <t>Sprint Leader keeps the board current</t>
        </is>
      </c>
    </row>
    <row r="16" ht="15" customHeight="1" s="38">
      <c r="A16" s="46" t="inlineStr">
        <is>
          <t>Change Request CR-06 &amp; CCB</t>
        </is>
      </c>
      <c r="B16" s="46" t="inlineStr">
        <is>
          <t>R (reviews impact analysis)</t>
        </is>
      </c>
      <c r="C16" s="46" t="inlineStr">
        <is>
          <t>A/R (PO in the CCB)</t>
        </is>
      </c>
      <c r="D16" s="46" t="inlineStr">
        <is>
          <t>Sponsor decides</t>
        </is>
      </c>
    </row>
    <row r="17" ht="15" customHeight="1" s="38">
      <c r="A17" s="46" t="inlineStr">
        <is>
          <t>Rebaseline + configuration tags</t>
        </is>
      </c>
      <c r="B17" s="46" t="inlineStr">
        <is>
          <t>R (tags)</t>
        </is>
      </c>
      <c r="C17" s="46" t="inlineStr">
        <is>
          <t>A/R</t>
        </is>
      </c>
      <c r="D17" s="46" t="inlineStr">
        <is>
          <t>baseline-v1.0, baseline-v1.1, v1.0</t>
        </is>
      </c>
    </row>
    <row r="18" ht="23.85" customHeight="1" s="38">
      <c r="A18" s="46" t="inlineStr">
        <is>
          <t>Test cases from AC</t>
        </is>
      </c>
      <c r="B18" s="46" t="inlineStr">
        <is>
          <t>R (runs F2/F3, F4/F5, regression)</t>
        </is>
      </c>
      <c r="C18" s="46" t="inlineStr">
        <is>
          <t>A/R (writes F1–F5 test cases; manual F1 run)</t>
        </is>
      </c>
      <c r="D18" s="46" t="inlineStr">
        <is>
          <t>≥ 1 test case per AC</t>
        </is>
      </c>
    </row>
    <row r="19" ht="15" customHeight="1" s="38">
      <c r="A19" s="46" t="inlineStr">
        <is>
          <t>UAT script &amp; acceptance record</t>
        </is>
      </c>
      <c r="B19" s="46" t="inlineStr">
        <is>
          <t>C</t>
        </is>
      </c>
      <c r="C19" s="46" t="inlineStr">
        <is>
          <t>A/R</t>
        </is>
      </c>
      <c r="D19" s="46" t="inlineStr">
        <is>
          <t>Run at Review 3 (13/11)</t>
        </is>
      </c>
    </row>
    <row r="20" ht="15" customHeight="1" s="38">
      <c r="A20" s="46" t="inlineStr">
        <is>
          <t>Hosting &amp; Release v1.0</t>
        </is>
      </c>
      <c r="B20" s="46" t="inlineStr">
        <is>
          <t>A/R (Supabase + Vercel)</t>
        </is>
      </c>
      <c r="C20" s="46" t="inlineStr">
        <is>
          <t>C</t>
        </is>
      </c>
      <c r="D20" s="46" t="inlineStr">
        <is>
          <t>Tag v1.0 + release notes</t>
        </is>
      </c>
    </row>
    <row r="21" ht="15" customHeight="1" s="38">
      <c r="A21" s="46" t="inlineStr">
        <is>
          <t>EVM &amp; Final Report</t>
        </is>
      </c>
      <c r="B21" s="46" t="inlineStr">
        <is>
          <t>R (PMP / Workbook Final)</t>
        </is>
      </c>
      <c r="C21" s="46" t="inlineStr">
        <is>
          <t>A/R (Final Report, EVM)</t>
        </is>
      </c>
      <c r="D21" s="46" t="inlineStr">
        <is>
          <t>Hours from Jira Completed Work</t>
        </is>
      </c>
    </row>
    <row r="22" ht="15" customHeight="1" s="38">
      <c r="A22" s="46" t="inlineStr">
        <is>
          <t>Slides &amp; demo video</t>
        </is>
      </c>
      <c r="B22" s="46" t="inlineStr">
        <is>
          <t>R</t>
        </is>
      </c>
      <c r="C22" s="46" t="inlineStr">
        <is>
          <t>A/R</t>
        </is>
      </c>
      <c r="D22" s="46" t="inlineStr">
        <is>
          <t>Everyone presents</t>
        </is>
      </c>
    </row>
    <row r="23" ht="15" customHeight="1" s="38">
      <c r="A23" s="46" t="inlineStr">
        <is>
          <t>Member evaluation c0_Eval</t>
        </is>
      </c>
      <c r="B23" s="46" t="inlineStr">
        <is>
          <t>Sprint 1, Sprint 3</t>
        </is>
      </c>
      <c r="C23" s="46" t="inlineStr">
        <is>
          <t>Sprint 2</t>
        </is>
      </c>
      <c r="D23" s="46" t="inlineStr">
        <is>
          <t>Sprint Leader evaluates members</t>
        </is>
      </c>
    </row>
    <row r="25" ht="15" customHeight="1" s="38">
      <c r="A25" s="44" t="inlineStr">
        <is>
          <t>Development Story Points per person (main developer, sheet 3)</t>
        </is>
      </c>
    </row>
    <row r="26" ht="15" customHeight="1" s="38">
      <c r="A26" s="45" t="inlineStr">
        <is>
          <t>Member</t>
        </is>
      </c>
      <c r="B26" s="45" t="inlineStr">
        <is>
          <t>Sprint 1</t>
        </is>
      </c>
      <c r="C26" s="45" t="inlineStr">
        <is>
          <t>Sprint 2</t>
        </is>
      </c>
      <c r="D26" s="45" t="inlineStr">
        <is>
          <t>Sprint 3</t>
        </is>
      </c>
      <c r="E26" s="45" t="inlineStr">
        <is>
          <t>Total SP</t>
        </is>
      </c>
    </row>
    <row r="27" ht="15" customHeight="1" s="38">
      <c r="A27" s="46" t="inlineStr">
        <is>
          <t>Hồ Du Tuấn Đạt</t>
        </is>
      </c>
      <c r="B27" s="46">
        <f>SUMIFS(3_ItemAllocation!$E$5:$E$34,3_ItemAllocation!$H$5:$H$34,$A27,3_ItemAllocation!$G$5:$G$34,"Sprint 1")</f>
        <v/>
      </c>
      <c r="C27" s="46">
        <f>SUMIFS(3_ItemAllocation!$E$5:$E$34,3_ItemAllocation!$H$5:$H$34,$A27,3_ItemAllocation!$G$5:$G$34,"Sprint 2")</f>
        <v/>
      </c>
      <c r="D27" s="46">
        <f>SUMIFS(3_ItemAllocation!$E$5:$E$34,3_ItemAllocation!$H$5:$H$34,$A27,3_ItemAllocation!$G$5:$G$34,"Sprint 3")</f>
        <v/>
      </c>
      <c r="E27" s="46">
        <f>SUM(B27:D27)</f>
        <v/>
      </c>
    </row>
    <row r="28" ht="15" customHeight="1" s="38">
      <c r="A28" s="46" t="inlineStr">
        <is>
          <t>Nguyễn Minh Chính</t>
        </is>
      </c>
      <c r="B28" s="46">
        <f>SUMIFS(3_ItemAllocation!$E$5:$E$34,3_ItemAllocation!$H$5:$H$34,$A28,3_ItemAllocation!$G$5:$G$34,"Sprint 1")</f>
        <v/>
      </c>
      <c r="C28" s="46">
        <f>SUMIFS(3_ItemAllocation!$E$5:$E$34,3_ItemAllocation!$H$5:$H$34,$A28,3_ItemAllocation!$G$5:$G$34,"Sprint 2")</f>
        <v/>
      </c>
      <c r="D28" s="46">
        <f>SUMIFS(3_ItemAllocation!$E$5:$E$34,3_ItemAllocation!$H$5:$H$34,$A28,3_ItemAllocation!$G$5:$G$34,"Sprint 3")</f>
        <v/>
      </c>
      <c r="E28" s="46">
        <f>SUM(B28:D28)</f>
        <v/>
      </c>
    </row>
    <row r="30" ht="15" customHeight="1" s="38">
      <c r="A30" s="44" t="inlineStr">
        <is>
          <t>Planned hours per person (sheet 2, 'Both' split 50/50) vs. capacity</t>
        </is>
      </c>
    </row>
    <row r="31" ht="15" customHeight="1" s="38">
      <c r="A31" s="45" t="inlineStr">
        <is>
          <t>Member</t>
        </is>
      </c>
      <c r="B31" s="45" t="inlineStr">
        <is>
          <t>Sprint 1</t>
        </is>
      </c>
      <c r="C31" s="45" t="inlineStr">
        <is>
          <t>Sprint 2</t>
        </is>
      </c>
      <c r="D31" s="45" t="inlineStr">
        <is>
          <t>Sprint 3</t>
        </is>
      </c>
      <c r="E31" s="45" t="inlineStr">
        <is>
          <t>Closure</t>
        </is>
      </c>
    </row>
    <row r="32" ht="15" customHeight="1" s="38">
      <c r="A32" s="46" t="inlineStr">
        <is>
          <t>Hồ Du Tuấn Đạt</t>
        </is>
      </c>
      <c r="B32" s="57">
        <f>SUMIFS(2_MasterSchedule!$E$5:$E$84,2_MasterSchedule!$D$5:$D$84,$A32,2_MasterSchedule!$B$5:$B$84,"Sprint 1")+SUMIFS(2_MasterSchedule!$E$5:$E$84,2_MasterSchedule!$D$5:$D$84,"Both",2_MasterSchedule!$B$5:$B$84,"Sprint 1")/2</f>
        <v/>
      </c>
      <c r="C32" s="57">
        <f>SUMIFS(2_MasterSchedule!$E$5:$E$84,2_MasterSchedule!$D$5:$D$84,$A32,2_MasterSchedule!$B$5:$B$84,"Sprint 2")+SUMIFS(2_MasterSchedule!$E$5:$E$84,2_MasterSchedule!$D$5:$D$84,"Both",2_MasterSchedule!$B$5:$B$84,"Sprint 2")/2</f>
        <v/>
      </c>
      <c r="D32" s="57">
        <f>SUMIFS(2_MasterSchedule!$E$5:$E$84,2_MasterSchedule!$D$5:$D$84,$A32,2_MasterSchedule!$B$5:$B$84,"Sprint 3")+SUMIFS(2_MasterSchedule!$E$5:$E$84,2_MasterSchedule!$D$5:$D$84,"Both",2_MasterSchedule!$B$5:$B$84,"Sprint 3")/2</f>
        <v/>
      </c>
      <c r="E32" s="57">
        <f>SUMIFS(2_MasterSchedule!$E$5:$E$84,2_MasterSchedule!$D$5:$D$84,$A32,2_MasterSchedule!$B$5:$B$84,"Closure")+SUMIFS(2_MasterSchedule!$E$5:$E$84,2_MasterSchedule!$D$5:$D$84,"Both",2_MasterSchedule!$B$5:$B$84,"Closure")/2</f>
        <v/>
      </c>
    </row>
    <row r="33" ht="15" customHeight="1" s="38">
      <c r="A33" s="46" t="inlineStr">
        <is>
          <t>Nguyễn Minh Chính</t>
        </is>
      </c>
      <c r="B33" s="57">
        <f>SUMIFS(2_MasterSchedule!$E$5:$E$84,2_MasterSchedule!$D$5:$D$84,$A33,2_MasterSchedule!$B$5:$B$84,"Sprint 1")+SUMIFS(2_MasterSchedule!$E$5:$E$84,2_MasterSchedule!$D$5:$D$84,"Both",2_MasterSchedule!$B$5:$B$84,"Sprint 1")/2</f>
        <v/>
      </c>
      <c r="C33" s="57">
        <f>SUMIFS(2_MasterSchedule!$E$5:$E$84,2_MasterSchedule!$D$5:$D$84,$A33,2_MasterSchedule!$B$5:$B$84,"Sprint 2")+SUMIFS(2_MasterSchedule!$E$5:$E$84,2_MasterSchedule!$D$5:$D$84,"Both",2_MasterSchedule!$B$5:$B$84,"Sprint 2")/2</f>
        <v/>
      </c>
      <c r="D33" s="57">
        <f>SUMIFS(2_MasterSchedule!$E$5:$E$84,2_MasterSchedule!$D$5:$D$84,$A33,2_MasterSchedule!$B$5:$B$84,"Sprint 3")+SUMIFS(2_MasterSchedule!$E$5:$E$84,2_MasterSchedule!$D$5:$D$84,"Both",2_MasterSchedule!$B$5:$B$84,"Sprint 3")/2</f>
        <v/>
      </c>
      <c r="E33" s="57">
        <f>SUMIFS(2_MasterSchedule!$E$5:$E$84,2_MasterSchedule!$D$5:$D$84,$A33,2_MasterSchedule!$B$5:$B$84,"Closure")+SUMIFS(2_MasterSchedule!$E$5:$E$84,2_MasterSchedule!$D$5:$D$84,"Both",2_MasterSchedule!$B$5:$B$84,"Closure")/2</f>
        <v/>
      </c>
    </row>
    <row r="34" ht="15" customHeight="1" s="38">
      <c r="A34" s="46" t="inlineStr">
        <is>
          <t>Capacity per person (h)</t>
        </is>
      </c>
      <c r="B34" s="57">
        <f>4_ReleasePlan!$B$6</f>
        <v/>
      </c>
      <c r="C34" s="57">
        <f>4_ReleasePlan!$B$6</f>
        <v/>
      </c>
      <c r="D34" s="57">
        <f>4_ReleasePlan!$B$6</f>
        <v/>
      </c>
    </row>
    <row r="35" ht="15" customHeight="1" s="38">
      <c r="A35" s="46">
        <f>A32&amp;" – check"</f>
        <v/>
      </c>
      <c r="B35" s="46">
        <f>IF(B32&lt;=B34,"OK","Over capacity")</f>
        <v/>
      </c>
      <c r="C35" s="46">
        <f>IF(C32&lt;=C34,"OK","Over capacity")</f>
        <v/>
      </c>
      <c r="D35" s="46">
        <f>IF(D32&lt;=D34,"OK","Over capacity")</f>
        <v/>
      </c>
    </row>
    <row r="36" ht="15" customHeight="1" s="38">
      <c r="A36" s="46">
        <f>A33&amp;" – check"</f>
        <v/>
      </c>
      <c r="B36" s="46">
        <f>IF(B33&lt;=B34,"OK","Over capacity")</f>
        <v/>
      </c>
      <c r="C36" s="46">
        <f>IF(C33&lt;=C34,"OK","Over capacity")</f>
        <v/>
      </c>
      <c r="D36" s="46">
        <f>IF(D33&lt;=D34,"OK","Over capacity")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37" min="1" max="1"/>
    <col width="18" customWidth="1" style="37" min="2" max="2"/>
    <col width="20" customWidth="1" style="37" min="3" max="3"/>
    <col width="50" customWidth="1" style="37" min="4" max="4"/>
    <col width="58" customWidth="1" style="37" min="5" max="5"/>
    <col width="11" customWidth="1" style="37" min="6" max="6"/>
  </cols>
  <sheetData>
    <row r="1" ht="17.35" customHeight="1" s="38">
      <c r="A1" s="39" t="inlineStr">
        <is>
          <t>SUBMISSION SCHEDULE &amp; FILE NAMES</t>
        </is>
      </c>
    </row>
    <row r="2" ht="15" customHeight="1" s="38">
      <c r="A2" s="40" t="inlineStr">
        <is>
          <t>Prefix HK261_SPM_FP_Team6_ · upload files individually, no zip · Excel files are cumulative · late: −10 % of the Sprint score per 5 h [03 §4.2, §7]</t>
        </is>
      </c>
    </row>
    <row r="4" ht="15" customHeight="1" s="38">
      <c r="A4" s="45" t="inlineStr">
        <is>
          <t>Submission</t>
        </is>
      </c>
      <c r="B4" s="45" t="inlineStr">
        <is>
          <t>Due</t>
        </is>
      </c>
      <c r="C4" s="45" t="inlineStr">
        <is>
          <t>Submitted by</t>
        </is>
      </c>
      <c r="D4" s="45" t="inlineStr">
        <is>
          <t>File name</t>
        </is>
      </c>
      <c r="E4" s="45" t="inlineStr">
        <is>
          <t>Content</t>
        </is>
      </c>
      <c r="F4" s="45" t="inlineStr">
        <is>
          <t>Submitted?</t>
        </is>
      </c>
    </row>
    <row r="5" ht="15" customHeight="1" s="38">
      <c r="A5" s="46" t="inlineStr">
        <is>
          <t>eLearning item</t>
        </is>
      </c>
      <c r="B5" s="46" t="inlineStr">
        <is>
          <t>26/10 19:35 (late)</t>
        </is>
      </c>
      <c r="C5" s="46" t="inlineStr">
        <is>
          <t>Nguyễn Minh Chính</t>
        </is>
      </c>
      <c r="D5" s="46" t="inlineStr">
        <is>
          <t>HK261_SPM_FP_Team6_MasterPlan.xlsx</t>
        </is>
      </c>
      <c r="E5" s="46" t="inlineStr">
        <is>
          <t>FinalProject: Master Plan and Timeline – this workbook</t>
        </is>
      </c>
      <c r="F5" s="48" t="inlineStr">
        <is>
          <t>No</t>
        </is>
      </c>
    </row>
    <row r="6" ht="15" customHeight="1" s="38">
      <c r="A6" s="46" t="inlineStr">
        <is>
          <t>Sprint 1</t>
        </is>
      </c>
      <c r="B6" s="46" t="inlineStr">
        <is>
          <t>23:59 Thu 29/10</t>
        </is>
      </c>
      <c r="C6" s="46" t="inlineStr">
        <is>
          <t>Hồ Du Tuấn Đạt</t>
        </is>
      </c>
      <c r="D6" s="46" t="inlineStr">
        <is>
          <t>HK261_SPM_FP_Team6_c1_ProjectPlan.docx</t>
        </is>
      </c>
      <c r="E6" s="46" t="inlineStr">
        <is>
          <t>PMP v1.0 (7 parts)</t>
        </is>
      </c>
      <c r="F6" s="48" t="inlineStr">
        <is>
          <t>No</t>
        </is>
      </c>
    </row>
    <row r="7" ht="23.85" customHeight="1" s="38">
      <c r="A7" s="46" t="inlineStr">
        <is>
          <t>Sprint 1</t>
        </is>
      </c>
      <c r="B7" s="46" t="inlineStr">
        <is>
          <t>23:59 Thu 29/10</t>
        </is>
      </c>
      <c r="C7" s="46" t="inlineStr">
        <is>
          <t>Hồ Du Tuấn Đạt</t>
        </is>
      </c>
      <c r="D7" s="46" t="inlineStr">
        <is>
          <t>HK261_SPM_FP_Team6_c2_SprintBacklog_S1.xlsx</t>
        </is>
      </c>
      <c r="E7" s="46" t="inlineStr">
        <is>
          <t>Product Backlog, Planning Poker log, Release Plan, Sprint Backlog S1, Burndown, Risk Register, Config Items</t>
        </is>
      </c>
      <c r="F7" s="48" t="inlineStr">
        <is>
          <t>No</t>
        </is>
      </c>
    </row>
    <row r="8" ht="15" customHeight="1" s="38">
      <c r="A8" s="46" t="inlineStr">
        <is>
          <t>Sprint 1</t>
        </is>
      </c>
      <c r="B8" s="46" t="inlineStr">
        <is>
          <t>23:59 Thu 29/10</t>
        </is>
      </c>
      <c r="C8" s="46" t="inlineStr">
        <is>
          <t>Hồ Du Tuấn Đạt</t>
        </is>
      </c>
      <c r="D8" s="46" t="inlineStr">
        <is>
          <t>HK261_SPM_FP_Team6_c3_SprintReport_S1.docx</t>
        </is>
      </c>
      <c r="E8" s="46" t="inlineStr">
        <is>
          <t>Sprint Planning, Daily log, F1 test cases, Review, Retro, Status</t>
        </is>
      </c>
      <c r="F8" s="48" t="inlineStr">
        <is>
          <t>No</t>
        </is>
      </c>
    </row>
    <row r="9" ht="15" customHeight="1" s="38">
      <c r="A9" s="46" t="inlineStr">
        <is>
          <t>Sprint 1</t>
        </is>
      </c>
      <c r="B9" s="46" t="inlineStr">
        <is>
          <t>23:59 Thu 29/10</t>
        </is>
      </c>
      <c r="C9" s="46" t="inlineStr">
        <is>
          <t>Hồ Du Tuấn Đạt</t>
        </is>
      </c>
      <c r="D9" s="46" t="inlineStr">
        <is>
          <t>HK261_SPM_FP_Team6_c0_Eval_S1.xlsx</t>
        </is>
      </c>
      <c r="E9" s="46" t="inlineStr">
        <is>
          <t>Leader evaluates members</t>
        </is>
      </c>
      <c r="F9" s="48" t="inlineStr">
        <is>
          <t>No</t>
        </is>
      </c>
    </row>
    <row r="10" ht="15" customHeight="1" s="38">
      <c r="A10" s="46" t="inlineStr">
        <is>
          <t>Sprint 2</t>
        </is>
      </c>
      <c r="B10" s="46" t="inlineStr">
        <is>
          <t>23:59 Thu 05/11</t>
        </is>
      </c>
      <c r="C10" s="46" t="inlineStr">
        <is>
          <t>Nguyễn Minh Chính</t>
        </is>
      </c>
      <c r="D10" s="46" t="inlineStr">
        <is>
          <t>HK261_SPM_FP_Team6_c2_SprintBacklog_S2.xlsx</t>
        </is>
      </c>
      <c r="E10" s="46" t="inlineStr">
        <is>
          <t>Updated workbook (Change Log, Risk, Issue Log, S2)</t>
        </is>
      </c>
      <c r="F10" s="48" t="inlineStr">
        <is>
          <t>No</t>
        </is>
      </c>
    </row>
    <row r="11" ht="15" customHeight="1" s="38">
      <c r="A11" s="46" t="inlineStr">
        <is>
          <t>Sprint 2</t>
        </is>
      </c>
      <c r="B11" s="46" t="inlineStr">
        <is>
          <t>23:59 Thu 05/11</t>
        </is>
      </c>
      <c r="C11" s="46" t="inlineStr">
        <is>
          <t>Nguyễn Minh Chính</t>
        </is>
      </c>
      <c r="D11" s="46" t="inlineStr">
        <is>
          <t>HK261_SPM_FP_Team6_c3_SprintReport_S2.docx</t>
        </is>
      </c>
      <c r="E11" s="46" t="inlineStr">
        <is>
          <t>Sprint 2 report + F2, F3 test cases + Weekly Status</t>
        </is>
      </c>
      <c r="F11" s="48" t="inlineStr">
        <is>
          <t>No</t>
        </is>
      </c>
    </row>
    <row r="12" ht="23.85" customHeight="1" s="38">
      <c r="A12" s="46" t="inlineStr">
        <is>
          <t>Sprint 2</t>
        </is>
      </c>
      <c r="B12" s="46" t="inlineStr">
        <is>
          <t>23:59 Thu 05/11</t>
        </is>
      </c>
      <c r="C12" s="46" t="inlineStr">
        <is>
          <t>Nguyễn Minh Chính</t>
        </is>
      </c>
      <c r="D12" s="46" t="inlineStr">
        <is>
          <t>HK261_SPM_FP_Team6_c4_ChangeRequest_CR01.docx</t>
        </is>
      </c>
      <c r="E12" s="46" t="inlineStr">
        <is>
          <t>CR form, impact analysis, CCB decision (CR01 vs CR06 file name: ask the lecturer)</t>
        </is>
      </c>
      <c r="F12" s="48" t="inlineStr">
        <is>
          <t>No</t>
        </is>
      </c>
    </row>
    <row r="13" ht="15" customHeight="1" s="38">
      <c r="A13" s="46" t="inlineStr">
        <is>
          <t>Sprint 2</t>
        </is>
      </c>
      <c r="B13" s="46" t="inlineStr">
        <is>
          <t>23:59 Thu 05/11</t>
        </is>
      </c>
      <c r="C13" s="46" t="inlineStr">
        <is>
          <t>Nguyễn Minh Chính</t>
        </is>
      </c>
      <c r="D13" s="46" t="inlineStr">
        <is>
          <t>HK261_SPM_FP_Team6_c0_Eval_S2.xlsx</t>
        </is>
      </c>
      <c r="E13" s="46" t="inlineStr">
        <is>
          <t>Leader evaluates members</t>
        </is>
      </c>
      <c r="F13" s="48" t="inlineStr">
        <is>
          <t>No</t>
        </is>
      </c>
    </row>
    <row r="14" ht="15" customHeight="1" s="38">
      <c r="A14" s="46" t="inlineStr">
        <is>
          <t>Sprint 3</t>
        </is>
      </c>
      <c r="B14" s="46" t="inlineStr">
        <is>
          <t>23:59 Thu 12/11</t>
        </is>
      </c>
      <c r="C14" s="46" t="inlineStr">
        <is>
          <t>Hồ Du Tuấn Đạt</t>
        </is>
      </c>
      <c r="D14" s="46" t="inlineStr">
        <is>
          <t>HK261_SPM_FP_Team6_c2_SprintBacklog_S3.xlsx</t>
        </is>
      </c>
      <c r="E14" s="46" t="inlineStr">
        <is>
          <t>Updated workbook (S3, draft EVM)</t>
        </is>
      </c>
      <c r="F14" s="48" t="inlineStr">
        <is>
          <t>No</t>
        </is>
      </c>
    </row>
    <row r="15" ht="15" customHeight="1" s="38">
      <c r="A15" s="46" t="inlineStr">
        <is>
          <t>Sprint 3</t>
        </is>
      </c>
      <c r="B15" s="46" t="inlineStr">
        <is>
          <t>23:59 Thu 12/11</t>
        </is>
      </c>
      <c r="C15" s="46" t="inlineStr">
        <is>
          <t>Hồ Du Tuấn Đạt</t>
        </is>
      </c>
      <c r="D15" s="46" t="inlineStr">
        <is>
          <t>HK261_SPM_FP_Team6_c3_SprintReport_S3.docx</t>
        </is>
      </c>
      <c r="E15" s="46" t="inlineStr">
        <is>
          <t>Sprint 3 report + F4, F5 test cases + release notes</t>
        </is>
      </c>
      <c r="F15" s="48" t="inlineStr">
        <is>
          <t>No</t>
        </is>
      </c>
    </row>
    <row r="16" ht="15" customHeight="1" s="38">
      <c r="A16" s="46" t="inlineStr">
        <is>
          <t>Sprint 3</t>
        </is>
      </c>
      <c r="B16" s="46" t="inlineStr">
        <is>
          <t>23:59 Thu 12/11</t>
        </is>
      </c>
      <c r="C16" s="46" t="inlineStr">
        <is>
          <t>Hồ Du Tuấn Đạt</t>
        </is>
      </c>
      <c r="D16" s="46" t="inlineStr">
        <is>
          <t>HK261_SPM_FP_Team6_c5_UAT.docx</t>
        </is>
      </c>
      <c r="E16" s="46" t="inlineStr">
        <is>
          <t>UAT scripts and acceptance record</t>
        </is>
      </c>
      <c r="F16" s="48" t="inlineStr">
        <is>
          <t>No</t>
        </is>
      </c>
    </row>
    <row r="17" ht="15" customHeight="1" s="38">
      <c r="A17" s="46" t="inlineStr">
        <is>
          <t>Sprint 3</t>
        </is>
      </c>
      <c r="B17" s="46" t="inlineStr">
        <is>
          <t>23:59 Thu 12/11</t>
        </is>
      </c>
      <c r="C17" s="46" t="inlineStr">
        <is>
          <t>Hồ Du Tuấn Đạt</t>
        </is>
      </c>
      <c r="D17" s="46" t="inlineStr">
        <is>
          <t>HK261_SPM_FP_Team6_c0_Eval_S3.xlsx</t>
        </is>
      </c>
      <c r="E17" s="46" t="inlineStr">
        <is>
          <t>Leader evaluates members</t>
        </is>
      </c>
      <c r="F17" s="48" t="inlineStr">
        <is>
          <t>No</t>
        </is>
      </c>
    </row>
    <row r="18" ht="15" customHeight="1" s="38">
      <c r="A18" s="46" t="inlineStr">
        <is>
          <t>Final</t>
        </is>
      </c>
      <c r="B18" s="46" t="inlineStr">
        <is>
          <t>23:59 Sun 15/11</t>
        </is>
      </c>
      <c r="C18" s="46" t="inlineStr">
        <is>
          <t>Nguyễn Minh Chính</t>
        </is>
      </c>
      <c r="D18" s="46" t="inlineStr">
        <is>
          <t>HK261_SPM_FP_Team6_c1_ProjectPlan_Final.docx</t>
        </is>
      </c>
      <c r="E18" s="46" t="inlineStr">
        <is>
          <t>PMP updated after lecturer feedback and the CR</t>
        </is>
      </c>
      <c r="F18" s="48" t="inlineStr">
        <is>
          <t>No</t>
        </is>
      </c>
    </row>
    <row r="19" ht="15" customHeight="1" s="38">
      <c r="A19" s="46" t="inlineStr">
        <is>
          <t>Final</t>
        </is>
      </c>
      <c r="B19" s="46" t="inlineStr">
        <is>
          <t>23:59 Sun 15/11</t>
        </is>
      </c>
      <c r="C19" s="46" t="inlineStr">
        <is>
          <t>Hồ Du Tuấn Đạt</t>
        </is>
      </c>
      <c r="D19" s="46" t="inlineStr">
        <is>
          <t>HK261_SPM_FP_Team6_c2_SprintBacklog_Final.xlsx</t>
        </is>
      </c>
      <c r="E19" s="46" t="inlineStr">
        <is>
          <t>Complete workbook incl. EVM sheet</t>
        </is>
      </c>
      <c r="F19" s="48" t="inlineStr">
        <is>
          <t>No</t>
        </is>
      </c>
    </row>
    <row r="20" ht="15" customHeight="1" s="38">
      <c r="A20" s="46" t="inlineStr">
        <is>
          <t>Final</t>
        </is>
      </c>
      <c r="B20" s="46" t="inlineStr">
        <is>
          <t>23:59 Sun 15/11</t>
        </is>
      </c>
      <c r="C20" s="46" t="inlineStr">
        <is>
          <t>Nguyễn Minh Chính</t>
        </is>
      </c>
      <c r="D20" s="46" t="inlineStr">
        <is>
          <t>HK261_SPM_FP_Team6_c6_FinalReport.docx</t>
        </is>
      </c>
      <c r="E20" s="46" t="inlineStr">
        <is>
          <t>Final Report + Lessons Learned + hosted URL + repo/board/video links</t>
        </is>
      </c>
      <c r="F20" s="48" t="inlineStr">
        <is>
          <t>No</t>
        </is>
      </c>
    </row>
    <row r="21" ht="15" customHeight="1" s="38">
      <c r="A21" s="46" t="inlineStr">
        <is>
          <t>Final</t>
        </is>
      </c>
      <c r="B21" s="46" t="inlineStr">
        <is>
          <t>23:59 Sun 15/11</t>
        </is>
      </c>
      <c r="C21" s="46" t="inlineStr">
        <is>
          <t>Nguyễn Minh Chính</t>
        </is>
      </c>
      <c r="D21" s="46" t="inlineStr">
        <is>
          <t>HK261_SPM_FP_Team6_c6_Slides.pptx</t>
        </is>
      </c>
      <c r="E21" s="46" t="inlineStr">
        <is>
          <t>Final presentation slides</t>
        </is>
      </c>
      <c r="F21" s="48" t="inlineStr">
        <is>
          <t>No</t>
        </is>
      </c>
    </row>
    <row r="22" ht="15" customHeight="1" s="38">
      <c r="A22" s="46" t="inlineStr">
        <is>
          <t>Final</t>
        </is>
      </c>
      <c r="B22" s="46" t="inlineStr">
        <is>
          <t>23:59 Sun 15/11</t>
        </is>
      </c>
      <c r="C22" s="46" t="inlineStr">
        <is>
          <t>Each member</t>
        </is>
      </c>
      <c r="D22" s="46" t="inlineStr">
        <is>
          <t>Eval360_Team6_&lt;StudentID&gt;.xlsx</t>
        </is>
      </c>
      <c r="E22" s="46" t="inlineStr">
        <is>
          <t>One 360° evaluation file per member</t>
        </is>
      </c>
      <c r="F22" s="48" t="inlineStr">
        <is>
          <t>No</t>
        </is>
      </c>
    </row>
    <row r="24" ht="15" customHeight="1" s="38">
      <c r="A24" s="40" t="inlineStr">
        <is>
          <t>Final presentation: 07:00 Tuesday 17/11/2026 – 10 min + 5 min Q&amp;A; every member presents [03 §8].</t>
        </is>
      </c>
    </row>
  </sheetData>
  <dataValidations count="1">
    <dataValidation sqref="F5:F22" showDropDown="0" showInputMessage="0" showErrorMessage="0" allowBlank="0" type="list" errorStyle="stop" operator="between">
      <formula1>"No,Yes"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V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37" min="1" max="1"/>
    <col width="60" customWidth="1" style="37" min="2" max="2"/>
    <col width="8" customWidth="1" style="37" min="3" max="4"/>
    <col width="3.2" customWidth="1" style="37" min="5" max="30"/>
    <col hidden="1" width="13" customWidth="1" style="37" min="100" max="100"/>
  </cols>
  <sheetData>
    <row r="1" ht="17.35" customHeight="1" s="38">
      <c r="A1" s="39" t="inlineStr">
        <is>
          <t>TIMELINE 23/10 – 17/11/2026</t>
        </is>
      </c>
    </row>
    <row r="2" ht="15" customHeight="1" s="38">
      <c r="A2" s="40" t="inlineStr">
        <is>
          <t>Bars come from the planned dates in sheet 2. Navy = Sprint/phase · grey = work package · black = milestone · today's column is outlined in red.</t>
        </is>
      </c>
    </row>
    <row r="4" ht="21.6" customHeight="1" s="38">
      <c r="A4" s="45" t="inlineStr">
        <is>
          <t>WBS</t>
        </is>
      </c>
      <c r="B4" s="45" t="inlineStr">
        <is>
          <t>Item</t>
        </is>
      </c>
      <c r="C4" s="45" t="inlineStr">
        <is>
          <t>Start</t>
        </is>
      </c>
      <c r="D4" s="45" t="inlineStr">
        <is>
          <t>Finish</t>
        </is>
      </c>
      <c r="E4" s="69" t="n">
        <v>46318</v>
      </c>
      <c r="F4" s="69" t="n">
        <v>46319</v>
      </c>
      <c r="G4" s="69" t="n">
        <v>46320</v>
      </c>
      <c r="H4" s="69" t="n">
        <v>46321</v>
      </c>
      <c r="I4" s="69" t="n">
        <v>46322</v>
      </c>
      <c r="J4" s="69" t="n">
        <v>46323</v>
      </c>
      <c r="K4" s="69" t="n">
        <v>46324</v>
      </c>
      <c r="L4" s="69" t="n">
        <v>46325</v>
      </c>
      <c r="M4" s="69" t="n">
        <v>46326</v>
      </c>
      <c r="N4" s="69" t="n">
        <v>46327</v>
      </c>
      <c r="O4" s="69" t="n">
        <v>46328</v>
      </c>
      <c r="P4" s="69" t="n">
        <v>46329</v>
      </c>
      <c r="Q4" s="69" t="n">
        <v>46330</v>
      </c>
      <c r="R4" s="69" t="n">
        <v>46331</v>
      </c>
      <c r="S4" s="69" t="n">
        <v>46332</v>
      </c>
      <c r="T4" s="69" t="n">
        <v>46333</v>
      </c>
      <c r="U4" s="69" t="n">
        <v>46334</v>
      </c>
      <c r="V4" s="69" t="n">
        <v>46335</v>
      </c>
      <c r="W4" s="69" t="n">
        <v>46336</v>
      </c>
      <c r="X4" s="69" t="n">
        <v>46337</v>
      </c>
      <c r="Y4" s="69" t="n">
        <v>46338</v>
      </c>
      <c r="Z4" s="69" t="n">
        <v>46339</v>
      </c>
      <c r="AA4" s="69" t="n">
        <v>46340</v>
      </c>
      <c r="AB4" s="69" t="n">
        <v>46341</v>
      </c>
      <c r="AC4" s="69" t="n">
        <v>46342</v>
      </c>
      <c r="AD4" s="69" t="n">
        <v>46343</v>
      </c>
    </row>
    <row r="5" ht="15" customHeight="1" s="38">
      <c r="A5" s="70">
        <f>2_MasterSchedule!A5</f>
        <v/>
      </c>
      <c r="B5" s="70">
        <f>2_MasterSchedule!C5</f>
        <v/>
      </c>
      <c r="C5" s="71">
        <f>2_MasterSchedule!H5</f>
        <v/>
      </c>
      <c r="D5" s="71">
        <f>2_MasterSchedule!I5</f>
        <v/>
      </c>
      <c r="E5" s="72" t="n"/>
      <c r="F5" s="72" t="n"/>
      <c r="G5" s="72" t="n"/>
      <c r="H5" s="72" t="n"/>
      <c r="I5" s="72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  <c r="Z5" s="72" t="n"/>
      <c r="AA5" s="72" t="n"/>
      <c r="AB5" s="72" t="n"/>
      <c r="AC5" s="72" t="n"/>
      <c r="AD5" s="72" t="n"/>
      <c r="CV5" s="37" t="inlineStr">
        <is>
          <t>L1</t>
        </is>
      </c>
    </row>
    <row r="6" ht="15" customHeight="1" s="38">
      <c r="A6" s="73">
        <f>2_MasterSchedule!A6</f>
        <v/>
      </c>
      <c r="B6" s="73">
        <f>2_MasterSchedule!C6</f>
        <v/>
      </c>
      <c r="C6" s="74">
        <f>2_MasterSchedule!H6</f>
        <v/>
      </c>
      <c r="D6" s="74">
        <f>2_MasterSchedule!I6</f>
        <v/>
      </c>
      <c r="E6" s="72" t="n"/>
      <c r="F6" s="72" t="n"/>
      <c r="G6" s="72" t="n"/>
      <c r="H6" s="72" t="n"/>
      <c r="I6" s="72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  <c r="AA6" s="72" t="n"/>
      <c r="AB6" s="72" t="n"/>
      <c r="AC6" s="72" t="n"/>
      <c r="AD6" s="72" t="n"/>
      <c r="CV6" s="37" t="inlineStr">
        <is>
          <t>L2</t>
        </is>
      </c>
    </row>
    <row r="7" ht="15" customHeight="1" s="38">
      <c r="A7" s="73">
        <f>2_MasterSchedule!A15</f>
        <v/>
      </c>
      <c r="B7" s="73">
        <f>2_MasterSchedule!C15</f>
        <v/>
      </c>
      <c r="C7" s="74">
        <f>2_MasterSchedule!H15</f>
        <v/>
      </c>
      <c r="D7" s="74">
        <f>2_MasterSchedule!I15</f>
        <v/>
      </c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  <c r="AA7" s="72" t="n"/>
      <c r="AB7" s="72" t="n"/>
      <c r="AC7" s="72" t="n"/>
      <c r="AD7" s="72" t="n"/>
      <c r="CV7" s="37" t="inlineStr">
        <is>
          <t>L2</t>
        </is>
      </c>
    </row>
    <row r="8" ht="15" customHeight="1" s="38">
      <c r="A8" s="73">
        <f>2_MasterSchedule!A22</f>
        <v/>
      </c>
      <c r="B8" s="73">
        <f>2_MasterSchedule!C22</f>
        <v/>
      </c>
      <c r="C8" s="74">
        <f>2_MasterSchedule!H22</f>
        <v/>
      </c>
      <c r="D8" s="74">
        <f>2_MasterSchedule!I22</f>
        <v/>
      </c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  <c r="Z8" s="72" t="n"/>
      <c r="AA8" s="72" t="n"/>
      <c r="AB8" s="72" t="n"/>
      <c r="AC8" s="72" t="n"/>
      <c r="AD8" s="72" t="n"/>
      <c r="CV8" s="37" t="inlineStr">
        <is>
          <t>L2</t>
        </is>
      </c>
    </row>
    <row r="9" ht="15" customHeight="1" s="38">
      <c r="A9" s="70">
        <f>2_MasterSchedule!A24</f>
        <v/>
      </c>
      <c r="B9" s="70">
        <f>2_MasterSchedule!C24</f>
        <v/>
      </c>
      <c r="C9" s="71">
        <f>2_MasterSchedule!H24</f>
        <v/>
      </c>
      <c r="D9" s="71">
        <f>2_MasterSchedule!I24</f>
        <v/>
      </c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  <c r="Z9" s="72" t="n"/>
      <c r="AA9" s="72" t="n"/>
      <c r="AB9" s="72" t="n"/>
      <c r="AC9" s="72" t="n"/>
      <c r="AD9" s="72" t="n"/>
      <c r="CV9" s="37" t="inlineStr">
        <is>
          <t>MS</t>
        </is>
      </c>
    </row>
    <row r="10" ht="15" customHeight="1" s="38">
      <c r="A10" s="70">
        <f>2_MasterSchedule!A25</f>
        <v/>
      </c>
      <c r="B10" s="70">
        <f>2_MasterSchedule!C25</f>
        <v/>
      </c>
      <c r="C10" s="71">
        <f>2_MasterSchedule!H25</f>
        <v/>
      </c>
      <c r="D10" s="71">
        <f>2_MasterSchedule!I25</f>
        <v/>
      </c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2" t="n"/>
      <c r="AA10" s="72" t="n"/>
      <c r="AB10" s="72" t="n"/>
      <c r="AC10" s="72" t="n"/>
      <c r="AD10" s="72" t="n"/>
      <c r="CV10" s="37" t="inlineStr">
        <is>
          <t>L1</t>
        </is>
      </c>
    </row>
    <row r="11" ht="15" customHeight="1" s="38">
      <c r="A11" s="73">
        <f>2_MasterSchedule!A26</f>
        <v/>
      </c>
      <c r="B11" s="73">
        <f>2_MasterSchedule!C26</f>
        <v/>
      </c>
      <c r="C11" s="74">
        <f>2_MasterSchedule!H26</f>
        <v/>
      </c>
      <c r="D11" s="74">
        <f>2_MasterSchedule!I26</f>
        <v/>
      </c>
      <c r="E11" s="72" t="n"/>
      <c r="F11" s="72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  <c r="Z11" s="72" t="n"/>
      <c r="AA11" s="72" t="n"/>
      <c r="AB11" s="72" t="n"/>
      <c r="AC11" s="72" t="n"/>
      <c r="AD11" s="72" t="n"/>
      <c r="CV11" s="37" t="inlineStr">
        <is>
          <t>L2</t>
        </is>
      </c>
    </row>
    <row r="12" ht="15" customHeight="1" s="38">
      <c r="A12" s="73">
        <f>2_MasterSchedule!A33</f>
        <v/>
      </c>
      <c r="B12" s="73">
        <f>2_MasterSchedule!C33</f>
        <v/>
      </c>
      <c r="C12" s="74">
        <f>2_MasterSchedule!H33</f>
        <v/>
      </c>
      <c r="D12" s="74">
        <f>2_MasterSchedule!I33</f>
        <v/>
      </c>
      <c r="E12" s="72" t="n"/>
      <c r="F12" s="72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  <c r="Z12" s="72" t="n"/>
      <c r="AA12" s="72" t="n"/>
      <c r="AB12" s="72" t="n"/>
      <c r="AC12" s="72" t="n"/>
      <c r="AD12" s="72" t="n"/>
      <c r="CV12" s="37" t="inlineStr">
        <is>
          <t>L2</t>
        </is>
      </c>
    </row>
    <row r="13" ht="15" customHeight="1" s="38">
      <c r="A13" s="73">
        <f>2_MasterSchedule!A43</f>
        <v/>
      </c>
      <c r="B13" s="73">
        <f>2_MasterSchedule!C43</f>
        <v/>
      </c>
      <c r="C13" s="74">
        <f>2_MasterSchedule!H43</f>
        <v/>
      </c>
      <c r="D13" s="74">
        <f>2_MasterSchedule!I43</f>
        <v/>
      </c>
      <c r="E13" s="72" t="n"/>
      <c r="F13" s="72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  <c r="Z13" s="72" t="n"/>
      <c r="AA13" s="72" t="n"/>
      <c r="AB13" s="72" t="n"/>
      <c r="AC13" s="72" t="n"/>
      <c r="AD13" s="72" t="n"/>
      <c r="CV13" s="37" t="inlineStr">
        <is>
          <t>L2</t>
        </is>
      </c>
    </row>
    <row r="14" ht="15" customHeight="1" s="38">
      <c r="A14" s="73">
        <f>2_MasterSchedule!A50</f>
        <v/>
      </c>
      <c r="B14" s="73">
        <f>2_MasterSchedule!C50</f>
        <v/>
      </c>
      <c r="C14" s="74">
        <f>2_MasterSchedule!H50</f>
        <v/>
      </c>
      <c r="D14" s="74">
        <f>2_MasterSchedule!I50</f>
        <v/>
      </c>
      <c r="E14" s="72" t="n"/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  <c r="Z14" s="72" t="n"/>
      <c r="AA14" s="72" t="n"/>
      <c r="AB14" s="72" t="n"/>
      <c r="AC14" s="72" t="n"/>
      <c r="AD14" s="72" t="n"/>
      <c r="CV14" s="37" t="inlineStr">
        <is>
          <t>L2</t>
        </is>
      </c>
    </row>
    <row r="15" ht="15" customHeight="1" s="38">
      <c r="A15" s="70">
        <f>2_MasterSchedule!A53</f>
        <v/>
      </c>
      <c r="B15" s="70">
        <f>2_MasterSchedule!C53</f>
        <v/>
      </c>
      <c r="C15" s="71">
        <f>2_MasterSchedule!H53</f>
        <v/>
      </c>
      <c r="D15" s="71">
        <f>2_MasterSchedule!I53</f>
        <v/>
      </c>
      <c r="E15" s="72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  <c r="Z15" s="72" t="n"/>
      <c r="AA15" s="72" t="n"/>
      <c r="AB15" s="72" t="n"/>
      <c r="AC15" s="72" t="n"/>
      <c r="AD15" s="72" t="n"/>
      <c r="CV15" s="37" t="inlineStr">
        <is>
          <t>MS</t>
        </is>
      </c>
    </row>
    <row r="16" ht="15" customHeight="1" s="38">
      <c r="A16" s="70">
        <f>2_MasterSchedule!A54</f>
        <v/>
      </c>
      <c r="B16" s="70">
        <f>2_MasterSchedule!C54</f>
        <v/>
      </c>
      <c r="C16" s="71">
        <f>2_MasterSchedule!H54</f>
        <v/>
      </c>
      <c r="D16" s="71">
        <f>2_MasterSchedule!I54</f>
        <v/>
      </c>
      <c r="E16" s="72" t="n"/>
      <c r="F16" s="72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  <c r="Z16" s="72" t="n"/>
      <c r="AA16" s="72" t="n"/>
      <c r="AB16" s="72" t="n"/>
      <c r="AC16" s="72" t="n"/>
      <c r="AD16" s="72" t="n"/>
      <c r="CV16" s="37" t="inlineStr">
        <is>
          <t>L1</t>
        </is>
      </c>
    </row>
    <row r="17" ht="15" customHeight="1" s="38">
      <c r="A17" s="73">
        <f>2_MasterSchedule!A55</f>
        <v/>
      </c>
      <c r="B17" s="73">
        <f>2_MasterSchedule!C55</f>
        <v/>
      </c>
      <c r="C17" s="74">
        <f>2_MasterSchedule!H55</f>
        <v/>
      </c>
      <c r="D17" s="74">
        <f>2_MasterSchedule!I55</f>
        <v/>
      </c>
      <c r="E17" s="72" t="n"/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CV17" s="37" t="inlineStr">
        <is>
          <t>L2</t>
        </is>
      </c>
    </row>
    <row r="18" ht="15" customHeight="1" s="38">
      <c r="A18" s="73">
        <f>2_MasterSchedule!A62</f>
        <v/>
      </c>
      <c r="B18" s="73">
        <f>2_MasterSchedule!C62</f>
        <v/>
      </c>
      <c r="C18" s="74">
        <f>2_MasterSchedule!H62</f>
        <v/>
      </c>
      <c r="D18" s="74">
        <f>2_MasterSchedule!I62</f>
        <v/>
      </c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  <c r="Z18" s="72" t="n"/>
      <c r="AA18" s="72" t="n"/>
      <c r="AB18" s="72" t="n"/>
      <c r="AC18" s="72" t="n"/>
      <c r="AD18" s="72" t="n"/>
      <c r="CV18" s="37" t="inlineStr">
        <is>
          <t>L2</t>
        </is>
      </c>
    </row>
    <row r="19" ht="15" customHeight="1" s="38">
      <c r="A19" s="73">
        <f>2_MasterSchedule!A69</f>
        <v/>
      </c>
      <c r="B19" s="73">
        <f>2_MasterSchedule!C69</f>
        <v/>
      </c>
      <c r="C19" s="74">
        <f>2_MasterSchedule!H69</f>
        <v/>
      </c>
      <c r="D19" s="74">
        <f>2_MasterSchedule!I69</f>
        <v/>
      </c>
      <c r="E19" s="72" t="n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  <c r="Z19" s="72" t="n"/>
      <c r="AA19" s="72" t="n"/>
      <c r="AB19" s="72" t="n"/>
      <c r="AC19" s="72" t="n"/>
      <c r="AD19" s="72" t="n"/>
      <c r="CV19" s="37" t="inlineStr">
        <is>
          <t>L2</t>
        </is>
      </c>
    </row>
    <row r="20" ht="15" customHeight="1" s="38">
      <c r="A20" s="70">
        <f>2_MasterSchedule!A73</f>
        <v/>
      </c>
      <c r="B20" s="70">
        <f>2_MasterSchedule!C73</f>
        <v/>
      </c>
      <c r="C20" s="71">
        <f>2_MasterSchedule!H73</f>
        <v/>
      </c>
      <c r="D20" s="71">
        <f>2_MasterSchedule!I73</f>
        <v/>
      </c>
      <c r="E20" s="72" t="n"/>
      <c r="F20" s="7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  <c r="Z20" s="72" t="n"/>
      <c r="AA20" s="72" t="n"/>
      <c r="AB20" s="72" t="n"/>
      <c r="AC20" s="72" t="n"/>
      <c r="AD20" s="72" t="n"/>
      <c r="CV20" s="37" t="inlineStr">
        <is>
          <t>MS</t>
        </is>
      </c>
    </row>
    <row r="21" ht="15" customHeight="1" s="38">
      <c r="A21" s="70">
        <f>2_MasterSchedule!A74</f>
        <v/>
      </c>
      <c r="B21" s="70">
        <f>2_MasterSchedule!C74</f>
        <v/>
      </c>
      <c r="C21" s="71">
        <f>2_MasterSchedule!H74</f>
        <v/>
      </c>
      <c r="D21" s="71">
        <f>2_MasterSchedule!I74</f>
        <v/>
      </c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  <c r="Z21" s="72" t="n"/>
      <c r="AA21" s="72" t="n"/>
      <c r="AB21" s="72" t="n"/>
      <c r="AC21" s="72" t="n"/>
      <c r="AD21" s="72" t="n"/>
      <c r="CV21" s="37" t="inlineStr">
        <is>
          <t>L1</t>
        </is>
      </c>
    </row>
    <row r="22" ht="15" customHeight="1" s="38">
      <c r="A22" s="73">
        <f>2_MasterSchedule!A75</f>
        <v/>
      </c>
      <c r="B22" s="73">
        <f>2_MasterSchedule!C75</f>
        <v/>
      </c>
      <c r="C22" s="74">
        <f>2_MasterSchedule!H75</f>
        <v/>
      </c>
      <c r="D22" s="74">
        <f>2_MasterSchedule!I75</f>
        <v/>
      </c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  <c r="Z22" s="72" t="n"/>
      <c r="AA22" s="72" t="n"/>
      <c r="AB22" s="72" t="n"/>
      <c r="AC22" s="72" t="n"/>
      <c r="AD22" s="72" t="n"/>
      <c r="CV22" s="37" t="inlineStr">
        <is>
          <t>L2</t>
        </is>
      </c>
    </row>
    <row r="23" ht="15" customHeight="1" s="38">
      <c r="A23" s="73">
        <f>2_MasterSchedule!A78</f>
        <v/>
      </c>
      <c r="B23" s="73">
        <f>2_MasterSchedule!C78</f>
        <v/>
      </c>
      <c r="C23" s="74">
        <f>2_MasterSchedule!H78</f>
        <v/>
      </c>
      <c r="D23" s="74">
        <f>2_MasterSchedule!I78</f>
        <v/>
      </c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  <c r="Z23" s="72" t="n"/>
      <c r="AA23" s="72" t="n"/>
      <c r="AB23" s="72" t="n"/>
      <c r="AC23" s="72" t="n"/>
      <c r="AD23" s="72" t="n"/>
      <c r="CV23" s="37" t="inlineStr">
        <is>
          <t>L2</t>
        </is>
      </c>
    </row>
    <row r="24" ht="15" customHeight="1" s="38">
      <c r="A24" s="70">
        <f>2_MasterSchedule!A84</f>
        <v/>
      </c>
      <c r="B24" s="70">
        <f>2_MasterSchedule!C84</f>
        <v/>
      </c>
      <c r="C24" s="71">
        <f>2_MasterSchedule!H84</f>
        <v/>
      </c>
      <c r="D24" s="71">
        <f>2_MasterSchedule!I84</f>
        <v/>
      </c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  <c r="Z24" s="72" t="n"/>
      <c r="AA24" s="72" t="n"/>
      <c r="AB24" s="72" t="n"/>
      <c r="AC24" s="72" t="n"/>
      <c r="AD24" s="72" t="n"/>
      <c r="CV24" s="37" t="inlineStr">
        <is>
          <t>MS</t>
        </is>
      </c>
    </row>
  </sheetData>
  <conditionalFormatting sqref="E5:AD24">
    <cfRule type="expression" rank="0" priority="2" equalAverage="0" aboveAverage="0" dxfId="0" text="" percent="0" bottom="0">
      <formula>AND($CV5="MS",E$4&gt;=$C5,E$4&lt;=$D5)</formula>
    </cfRule>
    <cfRule type="expression" rank="0" priority="3" equalAverage="0" aboveAverage="0" dxfId="1" text="" percent="0" bottom="0">
      <formula>AND($CV5="L1",E$4&gt;=$C5,E$4&lt;=$D5)</formula>
    </cfRule>
    <cfRule type="expression" rank="0" priority="4" equalAverage="0" aboveAverage="0" dxfId="2" text="" percent="0" bottom="0">
      <formula>AND($CV5="L2",E$4&gt;=$C5,E$4&lt;=$D5)</formula>
    </cfRule>
  </conditionalFormatting>
  <conditionalFormatting sqref="E4:AD24">
    <cfRule type="expression" rank="0" priority="5" equalAverage="0" aboveAverage="0" dxfId="3" text="" percent="0" bottom="0">
      <formula>E$4=TODAY()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7" min="1" max="1"/>
    <col width="52" customWidth="1" style="37" min="2" max="2"/>
    <col width="18" customWidth="1" style="37" min="3" max="3"/>
    <col width="14" customWidth="1" style="37" min="4" max="5"/>
    <col width="10" customWidth="1" style="37" min="6" max="6"/>
    <col width="56" customWidth="1" style="37" min="7" max="7"/>
    <col width="3" customWidth="1" style="37" min="8" max="8"/>
    <col width="6" customWidth="1" style="37" min="9" max="9"/>
    <col width="22" customWidth="1" style="37" min="10" max="10"/>
    <col width="40" customWidth="1" style="37" min="11" max="11"/>
  </cols>
  <sheetData>
    <row r="1" ht="17.35" customHeight="1" s="38">
      <c r="A1" s="39" t="inlineStr">
        <is>
          <t>PLANNING POKER LOG – Release 1.0 (lecturer template BM01)</t>
        </is>
      </c>
    </row>
    <row r="2" ht="15" customHeight="1" s="38">
      <c r="A2" s="40" t="inlineStr">
        <is>
          <t>Estimation record 30/10/2026: NO voting rounds were held. Final SP = PO (Nguyễn Minh Chính) estimates from AI-suggested values, sized against reference stories 2 SP (hide book) / 3 SP (book detail) / 5 SP (search &amp; filter). Round columns are empty on purpose. Đạt to confirm; a later real session replaces these values.</t>
        </is>
      </c>
    </row>
    <row r="4" ht="23.85" customHeight="1" s="38">
      <c r="A4" s="41" t="inlineStr">
        <is>
          <t>Session date/time</t>
        </is>
      </c>
      <c r="B4" s="75" t="inlineStr">
        <is>
          <t>30/10/2026</t>
        </is>
      </c>
      <c r="C4" s="43" t="n"/>
      <c r="I4" s="45" t="inlineStr">
        <is>
          <t>#</t>
        </is>
      </c>
      <c r="J4" s="45" t="inlineStr">
        <is>
          <t>Member</t>
        </is>
      </c>
      <c r="K4" s="45" t="inlineStr">
        <is>
          <t>Role</t>
        </is>
      </c>
    </row>
    <row r="5" ht="23.85" customHeight="1" s="38">
      <c r="A5" s="41" t="inlineStr">
        <is>
          <t>Channel / place</t>
        </is>
      </c>
      <c r="B5" s="75" t="inlineStr">
        <is>
          <t>No session held – PO estimate (see A2)</t>
        </is>
      </c>
      <c r="C5" s="43" t="n"/>
      <c r="I5" s="46" t="n">
        <v>1</v>
      </c>
      <c r="J5" s="46" t="inlineStr">
        <is>
          <t>Hồ Du Tuấn Đạt</t>
        </is>
      </c>
      <c r="K5" s="46" t="inlineStr">
        <is>
          <t>Developer · Sprint Leader S1, S3</t>
        </is>
      </c>
    </row>
    <row r="6" ht="23.85" customHeight="1" s="38">
      <c r="A6" s="41" t="inlineStr">
        <is>
          <t>Facilitator</t>
        </is>
      </c>
      <c r="B6" s="42" t="inlineStr">
        <is>
          <t>Nguyễn Minh Chính (PO reads each story and its AC)</t>
        </is>
      </c>
      <c r="C6" s="43" t="n"/>
      <c r="I6" s="46" t="n">
        <v>2</v>
      </c>
      <c r="J6" s="46" t="inlineStr">
        <is>
          <t>Nguyễn Minh Chính</t>
        </is>
      </c>
      <c r="K6" s="46" t="inlineStr">
        <is>
          <t>Product Owner + Developer · Sprint Leader S2</t>
        </is>
      </c>
    </row>
    <row r="8" ht="23.85" customHeight="1" s="38">
      <c r="A8" s="45" t="inlineStr">
        <is>
          <t>US ID</t>
        </is>
      </c>
      <c r="B8" s="45" t="inlineStr">
        <is>
          <t>Item</t>
        </is>
      </c>
      <c r="C8" s="45" t="inlineStr">
        <is>
          <t>Round 1 (cards: Đạt, Chính)</t>
        </is>
      </c>
      <c r="D8" s="45" t="inlineStr">
        <is>
          <t>Round 2</t>
        </is>
      </c>
      <c r="E8" s="45" t="inlineStr">
        <is>
          <t>Round 3</t>
        </is>
      </c>
      <c r="F8" s="45" t="inlineStr">
        <is>
          <t>Final SP</t>
        </is>
      </c>
      <c r="G8" s="45" t="inlineStr">
        <is>
          <t>Reasoning that led to agreement / notes</t>
        </is>
      </c>
    </row>
    <row r="9" ht="30" customHeight="1" s="38">
      <c r="A9" s="41" t="inlineStr">
        <is>
          <t>US-01</t>
        </is>
      </c>
      <c r="B9" s="46" t="inlineStr">
        <is>
          <t>Visitor registers with name, email and password (signs in as Customer)</t>
        </is>
      </c>
      <c r="C9" s="48" t="inlineStr">
        <is>
          <t>–</t>
        </is>
      </c>
      <c r="D9" s="48" t="inlineStr">
        <is>
          <t>–</t>
        </is>
      </c>
      <c r="E9" s="48" t="inlineStr">
        <is>
          <t>–</t>
        </is>
      </c>
      <c r="F9" s="48" t="n">
        <v>3</v>
      </c>
      <c r="G9" s="48" t="inlineStr">
        <is>
          <t>One form; duplicate-email check; client + server validation. Same size as reference 3 (book detail)</t>
        </is>
      </c>
    </row>
    <row r="10" ht="30" customHeight="1" s="38">
      <c r="A10" s="41" t="inlineStr">
        <is>
          <t>US-02</t>
        </is>
      </c>
      <c r="B10" s="46" t="inlineStr">
        <is>
          <t>Registered user logs in and logs out</t>
        </is>
      </c>
      <c r="C10" s="48" t="inlineStr">
        <is>
          <t>–</t>
        </is>
      </c>
      <c r="D10" s="48" t="inlineStr">
        <is>
          <t>–</t>
        </is>
      </c>
      <c r="E10" s="48" t="inlineStr">
        <is>
          <t>–</t>
        </is>
      </c>
      <c r="F10" s="48" t="n">
        <v>3</v>
      </c>
      <c r="G10" s="48" t="inlineStr">
        <is>
          <t>Session handling + locked-account and generic-error cases; similar to US-01</t>
        </is>
      </c>
    </row>
    <row r="11" ht="30" customHeight="1" s="38">
      <c r="A11" s="41" t="inlineStr">
        <is>
          <t>US-03</t>
        </is>
      </c>
      <c r="B11" s="46" t="inlineStr">
        <is>
          <t>Administrator creates accounts with a role and locks/unlocks accounts</t>
        </is>
      </c>
      <c r="C11" s="48" t="inlineStr">
        <is>
          <t>–</t>
        </is>
      </c>
      <c r="D11" s="48" t="inlineStr">
        <is>
          <t>–</t>
        </is>
      </c>
      <c r="E11" s="48" t="inlineStr">
        <is>
          <t>–</t>
        </is>
      </c>
      <c r="F11" s="48" t="n">
        <v>5</v>
      </c>
      <c r="G11" s="48" t="inlineStr">
        <is>
          <t>List, create, lock/unlock, cannot lock self, session ends on lock; as large as reference 5 (search &amp; filter)</t>
        </is>
      </c>
    </row>
    <row r="12" ht="30" customHeight="1" s="38">
      <c r="A12" s="41" t="inlineStr">
        <is>
          <t>US-04</t>
        </is>
      </c>
      <c r="B12" s="46" t="inlineStr">
        <is>
          <t>Admin functions blocked on the server for anyone who is not an administrator</t>
        </is>
      </c>
      <c r="C12" s="48" t="inlineStr">
        <is>
          <t>–</t>
        </is>
      </c>
      <c r="D12" s="48" t="inlineStr">
        <is>
          <t>–</t>
        </is>
      </c>
      <c r="E12" s="48" t="inlineStr">
        <is>
          <t>–</t>
        </is>
      </c>
      <c r="F12" s="48" t="n">
        <v>3</v>
      </c>
      <c r="G12" s="48" t="inlineStr">
        <is>
          <t>One shared server guard, but a 403 check is needed on every /admin route</t>
        </is>
      </c>
    </row>
    <row r="13" ht="30" customHeight="1" s="38">
      <c r="A13" s="41" t="inlineStr">
        <is>
          <t>NFR-01</t>
        </is>
      </c>
      <c r="B13" s="46" t="inlineStr">
        <is>
          <t>Passwords stored as hashes; every form validated on client and server</t>
        </is>
      </c>
      <c r="C13" s="48" t="inlineStr">
        <is>
          <t>–</t>
        </is>
      </c>
      <c r="D13" s="48" t="inlineStr">
        <is>
          <t>–</t>
        </is>
      </c>
      <c r="E13" s="48" t="inlineStr">
        <is>
          <t>–</t>
        </is>
      </c>
      <c r="F13" s="48" t="n">
        <v>2</v>
      </c>
      <c r="G13" s="48" t="inlineStr">
        <is>
          <t>bcrypt library + max-length rules; size of reference 2 (hide book)</t>
        </is>
      </c>
    </row>
    <row r="14" ht="30" customHeight="1" s="38">
      <c r="A14" s="41" t="inlineStr">
        <is>
          <t>NFR-03</t>
        </is>
      </c>
      <c r="B14" s="46" t="inlineStr">
        <is>
          <t>Site hosted on a free public URL until 17/11/2026</t>
        </is>
      </c>
      <c r="C14" s="48" t="inlineStr">
        <is>
          <t>–</t>
        </is>
      </c>
      <c r="D14" s="48" t="inlineStr">
        <is>
          <t>–</t>
        </is>
      </c>
      <c r="E14" s="48" t="inlineStr">
        <is>
          <t>–</t>
        </is>
      </c>
      <c r="F14" s="48" t="n">
        <v>2</v>
      </c>
      <c r="G14" s="48" t="inlineStr">
        <is>
          <t>Vercel + Supabase set-up and keep-alive; size of reference 2</t>
        </is>
      </c>
    </row>
    <row r="15" ht="30" customHeight="1" s="38">
      <c r="A15" s="41" t="inlineStr">
        <is>
          <t>US-05</t>
        </is>
      </c>
      <c r="B15" s="46" t="inlineStr">
        <is>
          <t>Administrator adds a book (title, author, category, price &gt; 0, description, cover, stock)</t>
        </is>
      </c>
      <c r="C15" s="48" t="inlineStr">
        <is>
          <t>–</t>
        </is>
      </c>
      <c r="D15" s="48" t="inlineStr">
        <is>
          <t>–</t>
        </is>
      </c>
      <c r="E15" s="48" t="inlineStr">
        <is>
          <t>–</t>
        </is>
      </c>
      <c r="F15" s="48" t="n">
        <v>5</v>
      </c>
      <c r="G15" s="48" t="inlineStr">
        <is>
          <t>Most fields of any form + cover upload (JPG/PNG ≤ 2 MB) + boundary checks; reference 5</t>
        </is>
      </c>
    </row>
    <row r="16" ht="30" customHeight="1" s="38">
      <c r="A16" s="41" t="inlineStr">
        <is>
          <t>US-06</t>
        </is>
      </c>
      <c r="B16" s="46" t="inlineStr">
        <is>
          <t>Administrator edits a book</t>
        </is>
      </c>
      <c r="C16" s="48" t="inlineStr">
        <is>
          <t>–</t>
        </is>
      </c>
      <c r="D16" s="48" t="inlineStr">
        <is>
          <t>–</t>
        </is>
      </c>
      <c r="E16" s="48" t="inlineStr">
        <is>
          <t>–</t>
        </is>
      </c>
      <c r="F16" s="48" t="n">
        <v>3</v>
      </c>
      <c r="G16" s="48" t="inlineStr">
        <is>
          <t>Reuses the add form; adds not-found and no-change cases</t>
        </is>
      </c>
    </row>
    <row r="17" ht="30" customHeight="1" s="38">
      <c r="A17" s="41" t="inlineStr">
        <is>
          <t>US-07</t>
        </is>
      </c>
      <c r="B17" s="46" t="inlineStr">
        <is>
          <t>Administrator deletes (hides) a book without losing its record</t>
        </is>
      </c>
      <c r="C17" s="48" t="inlineStr">
        <is>
          <t>–</t>
        </is>
      </c>
      <c r="D17" s="48" t="inlineStr">
        <is>
          <t>–</t>
        </is>
      </c>
      <c r="E17" s="48" t="inlineStr">
        <is>
          <t>–</t>
        </is>
      </c>
      <c r="F17" s="48" t="n">
        <v>2</v>
      </c>
      <c r="G17" s="48" t="inlineStr">
        <is>
          <t>Reference story (2 SP)</t>
        </is>
      </c>
    </row>
    <row r="18" ht="30" customHeight="1" s="38">
      <c r="A18" s="41" t="inlineStr">
        <is>
          <t>US-08</t>
        </is>
      </c>
      <c r="B18" s="46" t="inlineStr">
        <is>
          <t>Administrator manages categories</t>
        </is>
      </c>
      <c r="C18" s="48" t="inlineStr">
        <is>
          <t>–</t>
        </is>
      </c>
      <c r="D18" s="48" t="inlineStr">
        <is>
          <t>–</t>
        </is>
      </c>
      <c r="E18" s="48" t="inlineStr">
        <is>
          <t>–</t>
        </is>
      </c>
      <c r="F18" s="48" t="n">
        <v>3</v>
      </c>
      <c r="G18" s="48" t="inlineStr">
        <is>
          <t>Add/rename/remove + unique name + 'in use by N books' rule</t>
        </is>
      </c>
    </row>
    <row r="19" ht="30" customHeight="1" s="38">
      <c r="A19" s="41" t="inlineStr">
        <is>
          <t>US-09</t>
        </is>
      </c>
      <c r="B19" s="46" t="inlineStr">
        <is>
          <t>Administrator manages authors</t>
        </is>
      </c>
      <c r="C19" s="48" t="inlineStr">
        <is>
          <t>–</t>
        </is>
      </c>
      <c r="D19" s="48" t="inlineStr">
        <is>
          <t>–</t>
        </is>
      </c>
      <c r="E19" s="48" t="inlineStr">
        <is>
          <t>–</t>
        </is>
      </c>
      <c r="F19" s="48" t="n">
        <v>3</v>
      </c>
      <c r="G19" s="48" t="inlineStr">
        <is>
          <t>Same pattern as US-08</t>
        </is>
      </c>
    </row>
    <row r="20" ht="30" customHeight="1" s="38">
      <c r="A20" s="41" t="inlineStr">
        <is>
          <t>NFR-02</t>
        </is>
      </c>
      <c r="B20" s="46" t="inlineStr">
        <is>
          <t>At least 30 sample books loaded</t>
        </is>
      </c>
      <c r="C20" s="48" t="inlineStr">
        <is>
          <t>–</t>
        </is>
      </c>
      <c r="D20" s="48" t="inlineStr">
        <is>
          <t>–</t>
        </is>
      </c>
      <c r="E20" s="48" t="inlineStr">
        <is>
          <t>–</t>
        </is>
      </c>
      <c r="F20" s="48" t="n">
        <v>2</v>
      </c>
      <c r="G20" s="48" t="inlineStr">
        <is>
          <t>Seed script that is safe to run twice</t>
        </is>
      </c>
    </row>
    <row r="21" ht="30" customHeight="1" s="38">
      <c r="A21" s="41" t="inlineStr">
        <is>
          <t>US-10</t>
        </is>
      </c>
      <c r="B21" s="46" t="inlineStr">
        <is>
          <t>Customer browses a grid of 12 books per page, newest first</t>
        </is>
      </c>
      <c r="C21" s="48" t="inlineStr">
        <is>
          <t>–</t>
        </is>
      </c>
      <c r="D21" s="48" t="inlineStr">
        <is>
          <t>–</t>
        </is>
      </c>
      <c r="E21" s="48" t="inlineStr">
        <is>
          <t>–</t>
        </is>
      </c>
      <c r="F21" s="48" t="n">
        <v>3</v>
      </c>
      <c r="G21" s="48" t="inlineStr">
        <is>
          <t>Grid + pagination edge cases (page 0, too large, empty)</t>
        </is>
      </c>
    </row>
    <row r="22" ht="30" customHeight="1" s="38">
      <c r="A22" s="41" t="inlineStr">
        <is>
          <t>NFR-04</t>
        </is>
      </c>
      <c r="B22" s="46" t="inlineStr">
        <is>
          <t>Every page works on phone, tablet and desktop</t>
        </is>
      </c>
      <c r="C22" s="48" t="inlineStr">
        <is>
          <t>–</t>
        </is>
      </c>
      <c r="D22" s="48" t="inlineStr">
        <is>
          <t>–</t>
        </is>
      </c>
      <c r="E22" s="48" t="inlineStr">
        <is>
          <t>–</t>
        </is>
      </c>
      <c r="F22" s="48" t="n">
        <v>3</v>
      </c>
      <c r="G22" s="48" t="inlineStr">
        <is>
          <t>Three breakpoints checked on every page + 44 px tap targets</t>
        </is>
      </c>
    </row>
    <row r="23" ht="30" customHeight="1" s="38">
      <c r="A23" s="41" t="inlineStr">
        <is>
          <t>US-11</t>
        </is>
      </c>
      <c r="B23" s="46" t="inlineStr">
        <is>
          <t>Customer opens a book's detail page and goes back to the same list page</t>
        </is>
      </c>
      <c r="C23" s="48" t="inlineStr">
        <is>
          <t>–</t>
        </is>
      </c>
      <c r="D23" s="48" t="inlineStr">
        <is>
          <t>–</t>
        </is>
      </c>
      <c r="E23" s="48" t="inlineStr">
        <is>
          <t>–</t>
        </is>
      </c>
      <c r="F23" s="48" t="n">
        <v>3</v>
      </c>
      <c r="G23" s="48" t="inlineStr">
        <is>
          <t>Reference story (3 SP); Back keeps page/search/filter</t>
        </is>
      </c>
    </row>
    <row r="24" ht="30" customHeight="1" s="38">
      <c r="A24" s="41" t="inlineStr">
        <is>
          <t>US-12</t>
        </is>
      </c>
      <c r="B24" s="46" t="inlineStr">
        <is>
          <t>Customer searches by title or author</t>
        </is>
      </c>
      <c r="C24" s="48" t="inlineStr">
        <is>
          <t>–</t>
        </is>
      </c>
      <c r="D24" s="48" t="inlineStr">
        <is>
          <t>–</t>
        </is>
      </c>
      <c r="E24" s="48" t="inlineStr">
        <is>
          <t>–</t>
        </is>
      </c>
      <c r="F24" s="48" t="n">
        <v>3</v>
      </c>
      <c r="G24" s="48" t="inlineStr">
        <is>
          <t>One case-insensitive query on title or author; special characters as text</t>
        </is>
      </c>
    </row>
    <row r="25" ht="30" customHeight="1" s="38">
      <c r="A25" s="41" t="inlineStr">
        <is>
          <t>US-13</t>
        </is>
      </c>
      <c r="B25" s="46" t="inlineStr">
        <is>
          <t>Customer filters by category and price range with search and pagination</t>
        </is>
      </c>
      <c r="C25" s="48" t="inlineStr">
        <is>
          <t>–</t>
        </is>
      </c>
      <c r="D25" s="48" t="inlineStr">
        <is>
          <t>–</t>
        </is>
      </c>
      <c r="E25" s="48" t="inlineStr">
        <is>
          <t>–</t>
        </is>
      </c>
      <c r="F25" s="48" t="n">
        <v>5</v>
      </c>
      <c r="G25" s="48" t="inlineStr">
        <is>
          <t>Category + price range + search kept in the URL across pages; reference 5</t>
        </is>
      </c>
    </row>
    <row r="26" ht="30" customHeight="1" s="38">
      <c r="A26" s="41" t="inlineStr">
        <is>
          <t>NFR-05</t>
        </is>
      </c>
      <c r="B26" s="46" t="inlineStr">
        <is>
          <t>Book list loads in under 2 seconds</t>
        </is>
      </c>
      <c r="C26" s="48" t="inlineStr">
        <is>
          <t>–</t>
        </is>
      </c>
      <c r="D26" s="48" t="inlineStr">
        <is>
          <t>–</t>
        </is>
      </c>
      <c r="E26" s="48" t="inlineStr">
        <is>
          <t>–</t>
        </is>
      </c>
      <c r="F26" s="48" t="n">
        <v>2</v>
      </c>
      <c r="G26" s="48" t="inlineStr">
        <is>
          <t>Measure 3 runs on the hosted site; add an index only if needed</t>
        </is>
      </c>
    </row>
    <row r="27" ht="30" customHeight="1" s="38">
      <c r="A27" s="41" t="inlineStr">
        <is>
          <t>US-24</t>
        </is>
      </c>
      <c r="B27" s="46" t="inlineStr">
        <is>
          <t>CR-06: Store Staff adds/edits books, manages categories and authors; cannot delete books or manage accounts</t>
        </is>
      </c>
      <c r="C27" s="48" t="inlineStr">
        <is>
          <t>–</t>
        </is>
      </c>
      <c r="D27" s="48" t="inlineStr">
        <is>
          <t>–</t>
        </is>
      </c>
      <c r="E27" s="48" t="inlineStr">
        <is>
          <t>–</t>
        </is>
      </c>
      <c r="F27" s="48" t="n">
        <v>5</v>
      </c>
      <c r="G27" s="48" t="inlineStr">
        <is>
          <t>New role touches every admin route and screen; server-side checks; as large as US-03</t>
        </is>
      </c>
    </row>
    <row r="28" ht="30" customHeight="1" s="38">
      <c r="A28" s="41" t="inlineStr">
        <is>
          <t>US-25</t>
        </is>
      </c>
      <c r="B28" s="46" t="inlineStr">
        <is>
          <t>CR-06: each book shows 'Last updated by … at …'</t>
        </is>
      </c>
      <c r="C28" s="48" t="inlineStr">
        <is>
          <t>–</t>
        </is>
      </c>
      <c r="D28" s="48" t="inlineStr">
        <is>
          <t>–</t>
        </is>
      </c>
      <c r="E28" s="48" t="inlineStr">
        <is>
          <t>–</t>
        </is>
      </c>
      <c r="F28" s="48" t="n">
        <v>2</v>
      </c>
      <c r="G28" s="48" t="inlineStr">
        <is>
          <t>Two audit columns + one display line</t>
        </is>
      </c>
    </row>
    <row r="30" ht="15" customHeight="1" s="38">
      <c r="A30" s="44" t="inlineStr">
        <is>
          <t>Questions the team asked the Product Owner (record at least 3) – proposed below; keep only those really asked and write the PO's answer</t>
        </is>
      </c>
    </row>
    <row r="31" ht="15" customHeight="1" s="38">
      <c r="A31" s="45" t="inlineStr">
        <is>
          <t>#</t>
        </is>
      </c>
      <c r="B31" s="45" t="inlineStr">
        <is>
          <t>Question</t>
        </is>
      </c>
      <c r="C31" s="45" t="inlineStr">
        <is>
          <t>PO answer</t>
        </is>
      </c>
      <c r="D31" s="43" t="n"/>
      <c r="E31" s="43" t="n"/>
      <c r="F31" s="43" t="n"/>
      <c r="G31" s="47" t="n"/>
    </row>
    <row r="32" ht="30" customHeight="1" s="38">
      <c r="A32" s="46" t="n">
        <v>1</v>
      </c>
      <c r="B32" s="46" t="inlineStr">
        <is>
          <t>US-05: is ISBN required for a book in Release 1.0 (F2 lists title, author, category, price, description, cover, stock)?</t>
        </is>
      </c>
      <c r="C32" s="75" t="n"/>
      <c r="D32" s="43" t="n"/>
      <c r="E32" s="43" t="n"/>
      <c r="F32" s="43" t="n"/>
      <c r="G32" s="43" t="n"/>
    </row>
    <row r="33" ht="30" customHeight="1" s="38">
      <c r="A33" s="46" t="n">
        <v>2</v>
      </c>
      <c r="B33" s="46" t="inlineStr">
        <is>
          <t>NFR-05: is the &lt; 2 s list load measured on a warm server, or must it also hold after a free-hosting cold start?</t>
        </is>
      </c>
      <c r="C33" s="75" t="n"/>
      <c r="D33" s="43" t="n"/>
      <c r="E33" s="43" t="n"/>
      <c r="F33" s="43" t="n"/>
      <c r="G33" s="43" t="n"/>
    </row>
    <row r="34" ht="30" customHeight="1" s="38">
      <c r="A34" s="46" t="n">
        <v>3</v>
      </c>
      <c r="B34" s="46" t="inlineStr">
        <is>
          <t>US-08 / US-09: can a category or author that is still used by books be removed, or only hidden?</t>
        </is>
      </c>
      <c r="C34" s="75" t="n"/>
      <c r="D34" s="43" t="n"/>
      <c r="E34" s="43" t="n"/>
      <c r="F34" s="43" t="n"/>
      <c r="G34" s="43" t="n"/>
    </row>
    <row r="35" ht="30" customHeight="1" s="38">
      <c r="A35" s="46" t="n">
        <v>4</v>
      </c>
      <c r="B35" s="46" t="inlineStr">
        <is>
          <t>US-24 (CR-06): may Store Staff delete categories and authors, or only add and edit them?</t>
        </is>
      </c>
      <c r="C35" s="75" t="n"/>
      <c r="D35" s="43" t="n"/>
      <c r="E35" s="43" t="n"/>
      <c r="F35" s="43" t="n"/>
      <c r="G35" s="43" t="n"/>
    </row>
  </sheetData>
  <mergeCells count="8">
    <mergeCell ref="B6:C6"/>
    <mergeCell ref="C35:G35"/>
    <mergeCell ref="C34:G34"/>
    <mergeCell ref="C32:G32"/>
    <mergeCell ref="B5:C5"/>
    <mergeCell ref="C33:G33"/>
    <mergeCell ref="C31:G31"/>
    <mergeCell ref="B4:C4"/>
  </mergeCells>
  <dataValidations count="1">
    <dataValidation sqref="F9:F28" showDropDown="0" showInputMessage="0" showErrorMessage="0" allowBlank="1" type="list" errorStyle="stop" operator="between">
      <formula1>"1,2,3,5,8,13"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2026-10-29T19:24:32Z</dcterms:created>
  <dcterms:modified xmlns:dcterms="http://purl.org/dc/terms/" xmlns:xsi="http://www.w3.org/2001/XMLSchema-instance" xsi:type="dcterms:W3CDTF">2026-10-29T19:56:47Z</dcterms:modified>
  <cp:revision>0</cp:revision>
</cp:coreProperties>
</file>