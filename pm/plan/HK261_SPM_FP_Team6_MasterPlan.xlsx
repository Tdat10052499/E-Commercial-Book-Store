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_Proposal_Approval" sheetId="1" state="visible" r:id="rId3"/>
    <sheet name="2_MasterSchedule" sheetId="2" state="visible" r:id="rId4"/>
    <sheet name="3_ItemAllocation" sheetId="3" state="visible" r:id="rId5"/>
    <sheet name="4_ReleasePlan" sheetId="4" state="visible" r:id="rId6"/>
    <sheet name="5_Responsibilities" sheetId="5" state="visible" r:id="rId7"/>
    <sheet name="6_Deliverables" sheetId="6" state="visible" r:id="rId8"/>
    <sheet name="7_Timeline" sheetId="7" state="visible" r:id="rId9"/>
    <sheet name="8_PlanningPo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<sst xmlns="http://schemas.openxmlformats.org/spreadsheetml/2006/main" count="1223" uniqueCount="663">
  <si>
    <t xml:space="preserve">MASTER PLAN – E-COMMERCIAL BOOK STORE RELEASE 1.0 (Team 6 – Page Turners)</t>
  </si>
  <si>
    <t xml:space="preserve">Proposal v0.5 – restructured into the class Master Plan layout (30/10) | Prepared by Nguyễn Minh Chính (PO) with Hồ Du Tuấn Đạt | Schedule 23/10 – 17/11/2026</t>
  </si>
  <si>
    <t xml:space="preserve">Course</t>
  </si>
  <si>
    <t xml:space="preserve">Software Project Management (72ITSE41503) – Final Project, Semester 261</t>
  </si>
  <si>
    <t xml:space="preserve">Sponsor / Customer</t>
  </si>
  <si>
    <t xml:space="preserve">Dr. Bùi Minh Phụng (lecturer) in the role of Ms. Le – approves the plan, issues the Change Request, signs UAT</t>
  </si>
  <si>
    <t xml:space="preserve">Release 1.0 scope</t>
  </si>
  <si>
    <t xml:space="preserve">F1 System administration · F2 Book management · F3 Book list · F4 Book details · F5 Search/filter [03 §2.2] – 18 backlog items (US-01…US-13, NFR-01…NFR-05)</t>
  </si>
  <si>
    <t xml:space="preserve">Out of scope</t>
  </si>
  <si>
    <t xml:space="preserve">Shopping cart, payment, social login → 10 items kept for Release 2 (R2-01…R2-10, sheet 3)</t>
  </si>
  <si>
    <t xml:space="preserve">Minimum non-functional</t>
  </si>
  <si>
    <t xml:space="preserve">Responsive · ≥ 30 sample books · list page &lt; 2 s · client + server validation · hashed passwords · free hosting online until 17/11</t>
  </si>
  <si>
    <t xml:space="preserve">Tools</t>
  </si>
  <si>
    <t xml:space="preserve">Jira (space ECBS: board, Original Estimate, Completed Work) · GitHub repo (main/develop, reviewed PRs, tags) · Excel workbook · stack Next.js + PostgreSQL (Supabase) + Vercel</t>
  </si>
  <si>
    <t xml:space="preserve">Effort &amp; budget</t>
  </si>
  <si>
    <t xml:space="preserve">A. PROPOSED SPRINT LEADER ROTATION (Option A – recommended)</t>
  </si>
  <si>
    <t xml:space="preserve">Sprint</t>
  </si>
  <si>
    <t xml:space="preserve">Dates</t>
  </si>
  <si>
    <t xml:space="preserve">Sprint Leader</t>
  </si>
  <si>
    <t xml:space="preserve">Product Owner</t>
  </si>
  <si>
    <t xml:space="preserve">Sprint PM focus</t>
  </si>
  <si>
    <t xml:space="preserve">Increment</t>
  </si>
  <si>
    <t xml:space="preserve">Why this Leader</t>
  </si>
  <si>
    <t xml:space="preserve">Submission / Review</t>
  </si>
  <si>
    <t xml:space="preserve">Sprint 1</t>
  </si>
  <si>
    <t xml:space="preserve">Fri 23/10 – Thu 29/10</t>
  </si>
  <si>
    <t xml:space="preserve">Hồ Du Tuấn Đạt</t>
  </si>
  <si>
    <t xml:space="preserve">Nguyễn Minh Chính</t>
  </si>
  <si>
    <t xml:space="preserve">PMP v1.0 (7 parts), Product Backlog v1.0, Planning Poker, Release Plan, BAC, Sprint Planning 1; record CR-06</t>
  </si>
  <si>
    <t xml:space="preserve">F1 – System administration + hosting</t>
  </si>
  <si>
    <t xml:space="preserve">Scrum Master in Lab 3 and the TA; owns the repo and the Jira site; built the F1 code</t>
  </si>
  <si>
    <t xml:space="preserve">Due 23:59 Thu 29/10 · Review 1 + CCB: Fri 30/10</t>
  </si>
  <si>
    <t xml:space="preserve">Sprint 2</t>
  </si>
  <si>
    <t xml:space="preserve">Fri 30/10 – Thu 05/11</t>
  </si>
  <si>
    <t xml:space="preserve">CR-06 in 5 steps + CCB, Weekly Status Report, risk register and issue log, F2/F3 test cases</t>
  </si>
  <si>
    <t xml:space="preserve">F2 – Book management · F3 – Book list (+ CR-06 US-24 if approved)</t>
  </si>
  <si>
    <t xml:space="preserve">2-member rule: the PO leads Sprint 2 [03 §4.1]; the PO wrote the AC that the CR changes</t>
  </si>
  <si>
    <t xml:space="preserve">Due 23:59 Thu 05/11 · Review 2: Fri 06/11</t>
  </si>
  <si>
    <t xml:space="preserve">Sprint 3</t>
  </si>
  <si>
    <t xml:space="preserve">Fri 06/11 – Thu 12/11</t>
  </si>
  <si>
    <t xml:space="preserve">Release v1.0 (tag + release notes), UAT script, EVM draft, F4/F5 test cases, regression F1–F3</t>
  </si>
  <si>
    <t xml:space="preserve">F4 – Book details · F5 – Search/filter (+ CR-06 US-25 if approved)</t>
  </si>
  <si>
    <t xml:space="preserve">Second Sprint for the non-PO member [03 §4.1]; backend owner for search/filter and the release tag</t>
  </si>
  <si>
    <t xml:space="preserve">Due 23:59 Thu 12/11 · Review 3 + UAT: Fri 13/11</t>
  </si>
  <si>
    <t xml:space="preserve">Closure</t>
  </si>
  <si>
    <t xml:space="preserve">Fri 13/11 – Tue 17/11</t>
  </si>
  <si>
    <t xml:space="preserve">Whole team</t>
  </si>
  <si>
    <t xml:space="preserve">Final Report (plan vs. actual, EVM), Lessons Learned, slides, demo video</t>
  </si>
  <si>
    <t xml:space="preserve">Release 1.0 online until end of 17/11</t>
  </si>
  <si>
    <t xml:space="preserve">Not a Sprint – no Leader turn; Chính coordinates the Final Report</t>
  </si>
  <si>
    <t xml:space="preserve">Final submission: 23:59 Sun 15/11 · Presentation: 07:00 Tue 17/11</t>
  </si>
  <si>
    <t xml:space="preserve">B. OPTIONS COMPARED</t>
  </si>
  <si>
    <t xml:space="preserve">Option</t>
  </si>
  <si>
    <t xml:space="preserve">Pros</t>
  </si>
  <si>
    <t xml:space="preserve">Cons / risks</t>
  </si>
  <si>
    <t xml:space="preserve">Rating</t>
  </si>
  <si>
    <t xml:space="preserve">A (recommended)</t>
  </si>
  <si>
    <t xml:space="preserve">Nguyễn Minh Chính (PO)</t>
  </si>
  <si>
    <t xml:space="preserve">Keeps the Lab 3 / TA roles (Chính PO, Đạt Scrum Master); Đạt, who owns the repo and Jira, leads the setup Sprint; the PO is the Leader when the CR is processed.</t>
  </si>
  <si>
    <t xml:space="preserve">In Sprint 2 the PO and the Leader are the same person at the CCB → Đạt reviews the impact analysis before the CCB.</t>
  </si>
  <si>
    <t xml:space="preserve">★★</t>
  </si>
  <si>
    <t xml:space="preserve">B</t>
  </si>
  <si>
    <t xml:space="preserve">Hồ Du Tuấn Đạt (PO)</t>
  </si>
  <si>
    <t xml:space="preserve">Chính leads twice and keeps the board, where he already did the TA Week 2 setup.</t>
  </si>
  <si>
    <t xml:space="preserve">Changes the PO two weeks before the end; Đạt would have to take over the backlog and AC written by Chính; breaks continuity with Lab 3.</t>
  </si>
  <si>
    <t xml:space="preserve">★</t>
  </si>
  <si>
    <t xml:space="preserve">With 2 members the rule allows only these two patterns: the PO leads Sprint 2, the other member leads Sprints 1 and 3 [03 §4.1].</t>
  </si>
  <si>
    <t xml:space="preserve">C. DECISIONS FOR APPROVAL  (choose in the 'Status' column – yellow cells)</t>
  </si>
  <si>
    <t xml:space="preserve">#</t>
  </si>
  <si>
    <t xml:space="preserve">Item</t>
  </si>
  <si>
    <t xml:space="preserve">Proposal</t>
  </si>
  <si>
    <t xml:space="preserve">Rationale</t>
  </si>
  <si>
    <t xml:space="preserve">Status</t>
  </si>
  <si>
    <t xml:space="preserve">Reviewer notes</t>
  </si>
  <si>
    <t xml:space="preserve">Leader rotation &amp; PO</t>
  </si>
  <si>
    <t xml:space="preserve">Option A: Đạt (S1) → Chính (S2) → Đạt (S3); PO = Chính, fixed, also a Developer. Recorded in plan/INPUTS.md §1 (30/10/2026).</t>
  </si>
  <si>
    <t xml:space="preserve">Mandatory 2-member rule [03 §4.1]; continuity with Lab 3 and the TA.</t>
  </si>
  <si>
    <t xml:space="preserve">Pending</t>
  </si>
  <si>
    <t xml:space="preserve">Product Backlog v1.0</t>
  </si>
  <si>
    <t xml:space="preserve">30 items: 18 for Release 1.0 (US-01…US-13, NFR-01…NFR-05), 2 for CR-06 (US-24, US-25), 10 kept for Release 2 (R2-01…R2-10). GWT ACs and DoR in pm/backlog/.</t>
  </si>
  <si>
    <t xml:space="preserve">Spec scope [03 §2.2]; ≥ 15 items; gap analysis [05 §1, §4].</t>
  </si>
  <si>
    <t xml:space="preserve">Item allocation per Sprint</t>
  </si>
  <si>
    <t xml:space="preserve">Reference plan: S1 F1 + hosting · S2 F2 + F3 (+ seed data, responsive) · S3 F4 + F5 + list &lt; 2 s + release.</t>
  </si>
  <si>
    <t xml:space="preserve">Matches the brief's reference Sprints [03 §2.2]; every Increment shown on the hosted URL.</t>
  </si>
  <si>
    <t xml:space="preserve">Capacity &amp; budget</t>
  </si>
  <si>
    <t xml:space="preserve">BAC = planned person-hours × 200,000 VND [03 §6.4]; same figures as PMP-3 §3.5–3.6.</t>
  </si>
  <si>
    <t xml:space="preserve">Estimation</t>
  </si>
  <si>
    <t xml:space="preserve">SP only from Planning Poker with every round logged (sheet 8, BM01 format); expected velocity = PSP ÷ 3 until the actual Sprint 1 velocity exists.</t>
  </si>
  <si>
    <t xml:space="preserve">Planning Poker evidence is graded (B4) and was missing last year [03 §8].</t>
  </si>
  <si>
    <t xml:space="preserve">Change Request CR-06</t>
  </si>
  <si>
    <t xml:space="preserve">Logged in the Change Log; impact analysis with options A / B / C. Team recommendation: Option B (US-24 in S2, US-25 in S3; +12 h, +2,400,000 VND). Enters the plan only if approved → baseline v1.1.</t>
  </si>
  <si>
    <t xml:space="preserve">5-step CR process [03 §6.2 item 3]; pm/change/CR-06-impact-analysis.md.</t>
  </si>
  <si>
    <t xml:space="preserve">Scrum event calendar</t>
  </si>
  <si>
    <t xml:space="preserve">Sprint Planning ≤ 45 min on the first day of each Sprint; Daily Scrum ≤ 10 min, logged (channel to confirm in plan/INPUTS.md §1); Review + Retro on Friday in class.</t>
  </si>
  <si>
    <t xml:space="preserve">Timeboxes [03 §4.2].</t>
  </si>
  <si>
    <t xml:space="preserve">Configuration management</t>
  </si>
  <si>
    <t xml:space="preserve">Branches main ← develop ← feat/Pxx-…, docs/Pxx-…; every change by PR into develop, reviewed by the other member before merge; Conventional Commits + 'Refs: Pxx'; tags baseline-v1.0, baseline-v1.1 (if CR approved), v1.0.</t>
  </si>
  <si>
    <t xml:space="preserve">No direct commits to main [03 §4.2]; criteria S5 and B7. PRs #1–#4 (30/10) were merged without review – corrected from Sprint 2.</t>
  </si>
  <si>
    <t xml:space="preserve">Sprint 1 recovery</t>
  </si>
  <si>
    <t xml:space="preserve">On 30/10 the Sprint 1 package was not complete at 29/10 23:59 (issue I-01). F1 code is done and tested locally; hosting, Planning Poker, Jira hours and the manual test run are completed before Review 1; the actual S1 result is reported honestly and the allocation re-checked at Sprint Planning 2.</t>
  </si>
  <si>
    <t xml:space="preserve">Late penalty −10 % per 5 h [03 §4.2]; unfinished work returns to the backlog [Rubric 1, S2].</t>
  </si>
  <si>
    <t xml:space="preserve">Approved:</t>
  </si>
  <si>
    <t xml:space="preserve">D. VERSION HISTORY</t>
  </si>
  <si>
    <t xml:space="preserve">Version</t>
  </si>
  <si>
    <t xml:space="preserve">Date</t>
  </si>
  <si>
    <t xml:space="preserve">Author</t>
  </si>
  <si>
    <t xml:space="preserve">Changes</t>
  </si>
  <si>
    <t xml:space="preserve">0.1</t>
  </si>
  <si>
    <t xml:space="preserve">30/10/2026</t>
  </si>
  <si>
    <t xml:space="preserve">Chính (drafted with Claude)</t>
  </si>
  <si>
    <t xml:space="preserve">First draft as a Word document: schedule, milestones, Leader rotation, item allocation, velocity/PSP/BAC formulas.</t>
  </si>
  <si>
    <t xml:space="preserve">0.2</t>
  </si>
  <si>
    <t xml:space="preserve">Workbook: WBS with owner, proposed hours and dates per task; BAC from the WBS; allocation; timeline; RACI; submission schedule; decisions for approval. vs. TA Work Plan: 2-week Sprint → three 1-week Sprints; scope → Release 1.0 (F1–F5).</t>
  </si>
  <si>
    <t xml:space="preserve">0.3</t>
  </si>
  <si>
    <t xml:space="preserve">Capacity 28 h/person/Sprint (PO assumption); Planning Poker log in the BM01 format.</t>
  </si>
  <si>
    <t xml:space="preserve">0.4</t>
  </si>
  <si>
    <t xml:space="preserve">Reorganised into the class Master Plan layout (proposal &amp; approval, master schedule, item allocation, release plan, responsibilities, deliverables) + timeline and Planning Poker sheets; leader options compared.</t>
  </si>
  <si>
    <t xml:space="preserve">0.5</t>
  </si>
  <si>
    <t xml:space="preserve">Aligned with the repository (PMP-3 v1.1-draft): backlog IDs of Product Backlog v1.0; Sprint 1 = S1_Backlog (14 tasks, 48 h); Sprint 2 = S2_Backlog draft; capacity 20 h/person/Sprint (40 h), BAC 24,000,000 VND; expected velocity = PSP ÷ 3; CR-06 Option B (+12 h).</t>
  </si>
  <si>
    <t xml:space="preserve">Legend: yellow cells = reviewer / team input. Story Points stay empty until the Planning Poker session; capacity and effort are planning assumptions, not actual hours (actual hours come from Jira Completed Work).</t>
  </si>
  <si>
    <t xml:space="preserve">MASTER SCHEDULE &amp; WBS 23/10 – 17/11/2026</t>
  </si>
  <si>
    <t xml:space="preserve">Sprint 1 = pm/sprints/S1/sprint-backlog.md (14 tasks, 48 h); Sprint 2 = pm/sprints/S2/sprint-backlog.md (draft); Sprint 3 and closure = proposal. Tasks ≤ 1 person-day; 'Both' counted half per member. Status as of 30/10/2026.</t>
  </si>
  <si>
    <t xml:space="preserve">WBS</t>
  </si>
  <si>
    <t xml:space="preserve">Phase</t>
  </si>
  <si>
    <t xml:space="preserve">Work package / task</t>
  </si>
  <si>
    <t xml:space="preserve">Owner</t>
  </si>
  <si>
    <t xml:space="preserve">Effort (h)</t>
  </si>
  <si>
    <t xml:space="preserve">Output / evidence</t>
  </si>
  <si>
    <t xml:space="preserve">Planned start</t>
  </si>
  <si>
    <t xml:space="preserve">Planned finish</t>
  </si>
  <si>
    <t xml:space="preserve">1</t>
  </si>
  <si>
    <t xml:space="preserve">SPRINT 1 (Fri 23/10 – Thu 29/10) – Plan baseline &amp; F1  |  Leader: Hồ Du Tuấn Đạt</t>
  </si>
  <si>
    <t xml:space="preserve">Sprint Goal: users can register, log in and log out; an administrator can create and lock accounts; non-admins are blocked from admin functions on the server (F1 on the hosted URL).</t>
  </si>
  <si>
    <t xml:space="preserve">1.1</t>
  </si>
  <si>
    <t xml:space="preserve">Project management – PMP v1.0 baseline (S1_Backlog S1-T01…T05, T13, T14)</t>
  </si>
  <si>
    <t xml:space="preserve">S1-T01</t>
  </si>
  <si>
    <t xml:space="preserve">Product Backlog v1.0 + Definition of Ready (GWT ACs)</t>
  </si>
  <si>
    <t xml:space="preserve">pm/backlog/product-backlog.md</t>
  </si>
  <si>
    <t xml:space="preserve">In Progress</t>
  </si>
  <si>
    <t xml:space="preserve">S1-T02</t>
  </si>
  <si>
    <t xml:space="preserve">Planning Poker session + Release Plan + BAC</t>
  </si>
  <si>
    <t xml:space="preserve">Planning Poker log; this workbook</t>
  </si>
  <si>
    <t xml:space="preserve">S1-T03</t>
  </si>
  <si>
    <t xml:space="preserve">PMP v1.0 parts 1, 3, 5, 6</t>
  </si>
  <si>
    <t xml:space="preserve">pm/pmp/01, 03, 05, 06</t>
  </si>
  <si>
    <t xml:space="preserve">S1-T04</t>
  </si>
  <si>
    <t xml:space="preserve">PMP v1.0 parts 2, 4, 7</t>
  </si>
  <si>
    <t xml:space="preserve">pm/pmp/02, 04, 07</t>
  </si>
  <si>
    <t xml:space="preserve">◆</t>
  </si>
  <si>
    <t xml:space="preserve">◆ Tue 27/10 in class: Change Request CR-06 received</t>
  </si>
  <si>
    <t xml:space="preserve">CR-06 form</t>
  </si>
  <si>
    <t xml:space="preserve">Done</t>
  </si>
  <si>
    <t xml:space="preserve">S1-T05</t>
  </si>
  <si>
    <t xml:space="preserve">CR-06: Change Log entry + impact analysis + CCB options</t>
  </si>
  <si>
    <t xml:space="preserve">pm/change/</t>
  </si>
  <si>
    <t xml:space="preserve">S1-T13</t>
  </si>
  <si>
    <t xml:space="preserve">Workbook c2, Sprint Report c3, submission</t>
  </si>
  <si>
    <t xml:space="preserve">deliverables/S1/</t>
  </si>
  <si>
    <t xml:space="preserve">S1-T14</t>
  </si>
  <si>
    <t xml:space="preserve">Review/Retro 1 preparation</t>
  </si>
  <si>
    <t xml:space="preserve">pm/sprints/S1/review-retro.md</t>
  </si>
  <si>
    <t xml:space="preserve">1.2</t>
  </si>
  <si>
    <t xml:space="preserve">Development – F1 (S1_Backlog S1-T06…T11)</t>
  </si>
  <si>
    <t xml:space="preserve">S1-T06</t>
  </si>
  <si>
    <t xml:space="preserve">Scaffold app, DB schema, deploy skeleton (NFR-03)</t>
  </si>
  <si>
    <t xml:space="preserve">app/; hosted URL</t>
  </si>
  <si>
    <t xml:space="preserve">S1-T07</t>
  </si>
  <si>
    <t xml:space="preserve">US-01, NFR-01 Register: form, client + server validation, bcrypt</t>
  </si>
  <si>
    <t xml:space="preserve">Merged code + tests</t>
  </si>
  <si>
    <t xml:space="preserve">S1-T08</t>
  </si>
  <si>
    <t xml:space="preserve">US-02 Log in / log out, sessions, locked-account check</t>
  </si>
  <si>
    <t xml:space="preserve">S1-T09</t>
  </si>
  <si>
    <t xml:space="preserve">US-03 Admin account list, create account with role, lock/unlock</t>
  </si>
  <si>
    <t xml:space="preserve">S1-T10</t>
  </si>
  <si>
    <t xml:space="preserve">US-04 Server-side role guard, 403 page, hide admin menu</t>
  </si>
  <si>
    <t xml:space="preserve">S1-T11</t>
  </si>
  <si>
    <t xml:space="preserve">NFR-04 (base) Responsive base layout and styles</t>
  </si>
  <si>
    <t xml:space="preserve">Merged code + screenshots</t>
  </si>
  <si>
    <t xml:space="preserve">1.3</t>
  </si>
  <si>
    <t xml:space="preserve">Testing – F1 (S1_Backlog S1-T12)</t>
  </si>
  <si>
    <t xml:space="preserve">S1-T12</t>
  </si>
  <si>
    <t xml:space="preserve">F1 test cases (24) + automated tests + run (manual run on hosted URL pending)</t>
  </si>
  <si>
    <t xml:space="preserve">pm/sprints/S1/test-cases-F1.md</t>
  </si>
  <si>
    <t xml:space="preserve">M3</t>
  </si>
  <si>
    <t xml:space="preserve">◆ SPRINT 1 SUBMISSION – 23:59 Thu 29/10</t>
  </si>
  <si>
    <t xml:space="preserve">Upload each file separately to E-learning; no zip</t>
  </si>
  <si>
    <t xml:space="preserve">2</t>
  </si>
  <si>
    <t xml:space="preserve">SPRINT 2 (Fri 30/10 – Thu 05/11) – Execution, monitoring &amp; change control  |  Leader: Nguyễn Minh Chính (PO)</t>
  </si>
  <si>
    <t xml:space="preserve">Sprint Goal (proposal): admins manage books (hide, price &gt; 0), categories and authors; customers browse a responsive grid of ≥ 30 books, 12 per page, newest first; if CR-06 is approved, Staff gets 403 on delete and account management.</t>
  </si>
  <si>
    <t xml:space="preserve">2.1</t>
  </si>
  <si>
    <t xml:space="preserve">Scrum events &amp; project management (S2_Backlog draft)</t>
  </si>
  <si>
    <t xml:space="preserve">S2-T01</t>
  </si>
  <si>
    <t xml:space="preserve">Review &amp; Retro 1 (in class) + Sprint Planning 2 (≤ 45 min) → S2_Backlog → Jira</t>
  </si>
  <si>
    <t xml:space="preserve">Both</t>
  </si>
  <si>
    <t xml:space="preserve">S2_Backlog; Jira Sprint 2</t>
  </si>
  <si>
    <t xml:space="preserve">To Do</t>
  </si>
  <si>
    <t xml:space="preserve">S2-T02</t>
  </si>
  <si>
    <t xml:space="preserve">Daily Scrum S2 (≤ 10 min/day, logged) + daily board update</t>
  </si>
  <si>
    <t xml:space="preserve">Daily log</t>
  </si>
  <si>
    <t xml:space="preserve">S2-T03</t>
  </si>
  <si>
    <t xml:space="preserve">CCB decision; rebaseline backlog, AC, Release Plan, risk register; tag baseline-v1.1 if approved</t>
  </si>
  <si>
    <t xml:space="preserve">Rebaselined plan + tag</t>
  </si>
  <si>
    <t xml:space="preserve">S2-T04</t>
  </si>
  <si>
    <t xml:space="preserve">Weekly Status Report; risk register and issue log update</t>
  </si>
  <si>
    <t xml:space="preserve">Status report</t>
  </si>
  <si>
    <t xml:space="preserve">S2-T05</t>
  </si>
  <si>
    <t xml:space="preserve">c4_ChangeRequest_CR01.docx</t>
  </si>
  <si>
    <t xml:space="preserve">c4 form</t>
  </si>
  <si>
    <t xml:space="preserve">S2-T06</t>
  </si>
  <si>
    <t xml:space="preserve">c2_SprintBacklog_S2, c3_SprintReport_S2, c0_Eval_S2, upload</t>
  </si>
  <si>
    <t xml:space="preserve">c2, c3, c0 – Sprint 2</t>
  </si>
  <si>
    <t xml:space="preserve">2.2</t>
  </si>
  <si>
    <t xml:space="preserve">Development – F2 and F3</t>
  </si>
  <si>
    <t xml:space="preserve">S2-T07</t>
  </si>
  <si>
    <t xml:space="preserve">Data model: books, categories, authors, hidden flag; migration</t>
  </si>
  <si>
    <t xml:space="preserve">Merged code</t>
  </si>
  <si>
    <t xml:space="preserve">S2-T08</t>
  </si>
  <si>
    <t xml:space="preserve">US-08 Manage categories (screens + API + validation)</t>
  </si>
  <si>
    <t xml:space="preserve">Reviewed PR</t>
  </si>
  <si>
    <t xml:space="preserve">S2-T09</t>
  </si>
  <si>
    <t xml:space="preserve">US-09 Manage authors (screens + API + validation)</t>
  </si>
  <si>
    <t xml:space="preserve">S2-T10</t>
  </si>
  <si>
    <t xml:space="preserve">US-05 Add book: form, cover image, price &gt; 0, client + server validation</t>
  </si>
  <si>
    <t xml:space="preserve">S2-T11</t>
  </si>
  <si>
    <t xml:space="preserve">US-06 Edit book</t>
  </si>
  <si>
    <t xml:space="preserve">S2-T12</t>
  </si>
  <si>
    <t xml:space="preserve">US-07 Hide book (soft delete)</t>
  </si>
  <si>
    <t xml:space="preserve">S2-T13</t>
  </si>
  <si>
    <t xml:space="preserve">NFR-02 Seed ≥ 30 sample books</t>
  </si>
  <si>
    <t xml:space="preserve">Seed script</t>
  </si>
  <si>
    <t xml:space="preserve">S2-T14</t>
  </si>
  <si>
    <t xml:space="preserve">US-10 Book grid: cover, title, author, price; 12 per page; newest first</t>
  </si>
  <si>
    <t xml:space="preserve">S2-T15</t>
  </si>
  <si>
    <t xml:space="preserve">NFR-04 Responsive check of new pages (360 / 768 / 1280 px)</t>
  </si>
  <si>
    <t xml:space="preserve">Screenshots</t>
  </si>
  <si>
    <t xml:space="preserve">2.3</t>
  </si>
  <si>
    <t xml:space="preserve">CR-06 Option B – Sprint 2 part (only if the CCB approves)</t>
  </si>
  <si>
    <t xml:space="preserve">S2-T16</t>
  </si>
  <si>
    <t xml:space="preserve">C1 staff role + migration, audit columns (US-24)</t>
  </si>
  <si>
    <t xml:space="preserve">S2-T17</t>
  </si>
  <si>
    <t xml:space="preserve">C2 permission matrix on the server – 403 on delete and account management (US-24)</t>
  </si>
  <si>
    <t xml:space="preserve">S2-T18</t>
  </si>
  <si>
    <t xml:space="preserve">C3 Admin assigns/changes role incl. Staff (US-03 rework)</t>
  </si>
  <si>
    <t xml:space="preserve">S2-T19</t>
  </si>
  <si>
    <t xml:space="preserve">C4 Staff access to book/category/author screens; hide Delete (US-24)</t>
  </si>
  <si>
    <t xml:space="preserve">S2-T20</t>
  </si>
  <si>
    <t xml:space="preserve">C6 (part) CR test cases + F1 regression</t>
  </si>
  <si>
    <t xml:space="preserve">Test results</t>
  </si>
  <si>
    <t xml:space="preserve">S2-T21</t>
  </si>
  <si>
    <t xml:space="preserve">C7 CR documentation in the baseline</t>
  </si>
  <si>
    <t xml:space="preserve">Updated docs</t>
  </si>
  <si>
    <t xml:space="preserve">2.4</t>
  </si>
  <si>
    <t xml:space="preserve">Testing – F2 and F3</t>
  </si>
  <si>
    <t xml:space="preserve">S2-T22</t>
  </si>
  <si>
    <t xml:space="preserve">F2/F3 test cases from AC (≥ 1 per AC)</t>
  </si>
  <si>
    <t xml:space="preserve">Test cases F2, F3</t>
  </si>
  <si>
    <t xml:space="preserve">S2-T23</t>
  </si>
  <si>
    <t xml:space="preserve">Run F2/F3 test cases on the hosted URL + F1 regression; record results and defects</t>
  </si>
  <si>
    <t xml:space="preserve">M5</t>
  </si>
  <si>
    <t xml:space="preserve">◆ SPRINT 2 SUBMISSION – 23:59 Thu 05/11</t>
  </si>
  <si>
    <t xml:space="preserve">3</t>
  </si>
  <si>
    <t xml:space="preserve">SPRINT 3 (Fri 06/11 – Thu 12/11) – Complete Release 1.0 &amp; acceptance  |  Leader: Hồ Du Tuấn Đạt</t>
  </si>
  <si>
    <t xml:space="preserve">Sprint Goal (proposal): customers open book details and search/filter by title, author, category and price range together with pagination; F1–F3 pass regression; v1.0 tagged and ready for UAT.</t>
  </si>
  <si>
    <t xml:space="preserve">3.1</t>
  </si>
  <si>
    <t xml:space="preserve">Scrum events &amp; release</t>
  </si>
  <si>
    <t xml:space="preserve">S3-T01</t>
  </si>
  <si>
    <t xml:space="preserve">Review &amp; Retro 2 (in class) + Sprint Planning 3 with actual S2 velocity</t>
  </si>
  <si>
    <t xml:space="preserve">S3_Backlog; Jira Sprint 3</t>
  </si>
  <si>
    <t xml:space="preserve">S3-T02</t>
  </si>
  <si>
    <t xml:space="preserve">Daily Scrum S3 + daily board update</t>
  </si>
  <si>
    <t xml:space="preserve">S3-T11</t>
  </si>
  <si>
    <t xml:space="preserve">UAT script mapped to every AC (incl. CR-06 if approved)</t>
  </si>
  <si>
    <t xml:space="preserve">pm/uat/uat-script.md</t>
  </si>
  <si>
    <t xml:space="preserve">S3-T12</t>
  </si>
  <si>
    <t xml:space="preserve">Release v1.0: PR develop → main, tag v1.0, release notes</t>
  </si>
  <si>
    <t xml:space="preserve">Tag v1.0; release notes</t>
  </si>
  <si>
    <t xml:space="preserve">S3-T13</t>
  </si>
  <si>
    <t xml:space="preserve">EVM draft (PV, EV, AC, SV, CV, SPI, CPI, EAC, ETC) from Jira hours</t>
  </si>
  <si>
    <t xml:space="preserve">EVM sheet (draft)</t>
  </si>
  <si>
    <t xml:space="preserve">S3-T14</t>
  </si>
  <si>
    <t xml:space="preserve">c2_SprintBacklog_S3, c3_SprintReport_S3, c5_UAT, c0_Eval_S3, upload</t>
  </si>
  <si>
    <t xml:space="preserve">c2, c3, c5, c0 – Sprint 3</t>
  </si>
  <si>
    <t xml:space="preserve">3.2</t>
  </si>
  <si>
    <t xml:space="preserve">Development – F4 and F5 (+ CR-06 Option B, Sprint 3 part)</t>
  </si>
  <si>
    <t xml:space="preserve">S3-T03</t>
  </si>
  <si>
    <t xml:space="preserve">US-11 Book details page; unknown ID → friendly message; Back returns to the same list page</t>
  </si>
  <si>
    <t xml:space="preserve">S3-T04</t>
  </si>
  <si>
    <t xml:space="preserve">US-12 Search by title or author</t>
  </si>
  <si>
    <t xml:space="preserve">S3-T05</t>
  </si>
  <si>
    <t xml:space="preserve">US-13 Filter by category and price range, combined with search and pagination</t>
  </si>
  <si>
    <t xml:space="preserve">S3-T06</t>
  </si>
  <si>
    <t xml:space="preserve">NFR-05 Measure list load &lt; 2 s with ≥ 30 books; fix if needed</t>
  </si>
  <si>
    <t xml:space="preserve">Timing evidence</t>
  </si>
  <si>
    <t xml:space="preserve">S3-T07</t>
  </si>
  <si>
    <t xml:space="preserve">C5 'Last updated by … at …' (US-25, only if CR-06 approved)</t>
  </si>
  <si>
    <t xml:space="preserve">S3-T08</t>
  </si>
  <si>
    <t xml:space="preserve">C6 (rest) CR test cases + regression (only if CR-06 approved)</t>
  </si>
  <si>
    <t xml:space="preserve">3.3</t>
  </si>
  <si>
    <t xml:space="preserve">Testing – F4 and F5</t>
  </si>
  <si>
    <t xml:space="preserve">S3-T09</t>
  </si>
  <si>
    <t xml:space="preserve">F4/F5 test cases from AC</t>
  </si>
  <si>
    <t xml:space="preserve">Test cases F4, F5</t>
  </si>
  <si>
    <t xml:space="preserve">S3-T10</t>
  </si>
  <si>
    <t xml:space="preserve">Run F4/F5 test cases + regression F1–F3; record results and defects</t>
  </si>
  <si>
    <t xml:space="preserve">Test results; defect log</t>
  </si>
  <si>
    <t xml:space="preserve">S3-T15</t>
  </si>
  <si>
    <t xml:space="preserve">Defect-fixing buffer</t>
  </si>
  <si>
    <t xml:space="preserve">Fixed defects</t>
  </si>
  <si>
    <t xml:space="preserve">M7</t>
  </si>
  <si>
    <t xml:space="preserve">◆ RELEASE v1.0 + SPRINT 3 SUBMISSION – 23:59 Thu 12/11</t>
  </si>
  <si>
    <t xml:space="preserve">4</t>
  </si>
  <si>
    <t xml:space="preserve">CONSOLIDATION &amp; CLOSURE (Fri 13/11 – Tue 17/11)  |  Whole team</t>
  </si>
  <si>
    <t xml:space="preserve">Goal: Release 1.0 accepted at UAT and online until 17/11; final package submitted on time; every member presents.</t>
  </si>
  <si>
    <t xml:space="preserve">4.1</t>
  </si>
  <si>
    <t xml:space="preserve">Acceptance and hand-over</t>
  </si>
  <si>
    <t xml:space="preserve">4.1.1</t>
  </si>
  <si>
    <t xml:space="preserve">◆ Review 3 + UAT with the customer; acceptance record</t>
  </si>
  <si>
    <t xml:space="preserve">Signed acceptance record</t>
  </si>
  <si>
    <t xml:space="preserve">4.1.2</t>
  </si>
  <si>
    <t xml:space="preserve">Final hosting check, demo accounts (admin, customer), closure data</t>
  </si>
  <si>
    <t xml:space="preserve">URL; demo accounts; closure data</t>
  </si>
  <si>
    <t xml:space="preserve">4.2</t>
  </si>
  <si>
    <t xml:space="preserve">Closure documents and presentation</t>
  </si>
  <si>
    <t xml:space="preserve">4.2.1</t>
  </si>
  <si>
    <t xml:space="preserve">Final Report: plan vs. actual, EVM, risks &amp; changes, closure checklist, Lessons Learned ≥ 5, AI declaration</t>
  </si>
  <si>
    <t xml:space="preserve">c6_FinalReport.docx</t>
  </si>
  <si>
    <t xml:space="preserve">4.2.2</t>
  </si>
  <si>
    <t xml:space="preserve">PMP Final + Workbook Final (EVM sheet)</t>
  </si>
  <si>
    <t xml:space="preserve">c1_ProjectPlan_Final, c2_SprintBacklog_Final</t>
  </si>
  <si>
    <t xml:space="preserve">4.2.3</t>
  </si>
  <si>
    <t xml:space="preserve">Slides (font ≥ 20 pt) + demo video ≤ 3 min (pass and fail AC)</t>
  </si>
  <si>
    <t xml:space="preserve">c6_Slides; video link</t>
  </si>
  <si>
    <t xml:space="preserve">4.2.4</t>
  </si>
  <si>
    <t xml:space="preserve">Final submission + one Eval360 file per member</t>
  </si>
  <si>
    <t xml:space="preserve">All final files</t>
  </si>
  <si>
    <t xml:space="preserve">4.2.5</t>
  </si>
  <si>
    <t xml:space="preserve">Rehearsal; keep the website online until the end of 17/11</t>
  </si>
  <si>
    <t xml:space="preserve">Rehearsal notes</t>
  </si>
  <si>
    <t xml:space="preserve">M10</t>
  </si>
  <si>
    <t xml:space="preserve">◆ FINAL PRESENTATION – 07:00 Tue 17/11</t>
  </si>
  <si>
    <t xml:space="preserve">Total effort Sprints 1–3 (h) – basis of BAC</t>
  </si>
  <si>
    <t xml:space="preserve">Closure effort (h) – after Sprint 3, outside BAC (PV is defined over N = 3 Sprints)</t>
  </si>
  <si>
    <t xml:space="preserve">PRODUCT BACKLOG ALLOCATION PER SPRINT (Product Backlog v1.0)</t>
  </si>
  <si>
    <t xml:space="preserve">IDs and stories as in pm/backlog/product-backlog.md (v1.0-draft, 30 items; v0 = TA backlog, 23 items, 99 SP). SP = final Planning Poker result from sheet 8 (empty until the session is held).</t>
  </si>
  <si>
    <t xml:space="preserve">ID</t>
  </si>
  <si>
    <t xml:space="preserve">Feature</t>
  </si>
  <si>
    <t xml:space="preserve">Epic</t>
  </si>
  <si>
    <t xml:space="preserve">User Story (short)</t>
  </si>
  <si>
    <t xml:space="preserve">SP</t>
  </si>
  <si>
    <t xml:space="preserve">MoSCoW</t>
  </si>
  <si>
    <t xml:space="preserve">Main developer</t>
  </si>
  <si>
    <t xml:space="preserve">Change vs. backlog v0 (v0 SP in brackets)</t>
  </si>
  <si>
    <t xml:space="preserve">US-01</t>
  </si>
  <si>
    <t xml:space="preserve">F1</t>
  </si>
  <si>
    <t xml:space="preserve">EP-01 User Accounts</t>
  </si>
  <si>
    <t xml:space="preserve">Visitor registers with name, email and password (signs in as Customer)</t>
  </si>
  <si>
    <t xml:space="preserve">Must</t>
  </si>
  <si>
    <t xml:space="preserve">Kept – v0 US-01; email confirmation dropped, hashing + validation ACs added [v0: 3 SP]</t>
  </si>
  <si>
    <t xml:space="preserve">US-02</t>
  </si>
  <si>
    <t xml:space="preserve">Registered user logs in and logs out</t>
  </si>
  <si>
    <t xml:space="preserve">Kept – v0 US-02; password reset moved to Release 2 [v0: 3 SP]</t>
  </si>
  <si>
    <t xml:space="preserve">US-03</t>
  </si>
  <si>
    <t xml:space="preserve">Administrator creates accounts with a role and locks/unlocks accounts</t>
  </si>
  <si>
    <t xml:space="preserve">Rewritten – v0 US-03 (Store Manager/Staff roles removed) [v0: 5 SP]</t>
  </si>
  <si>
    <t xml:space="preserve">US-04</t>
  </si>
  <si>
    <t xml:space="preserve">Admin functions blocked on the server for anyone who is not an administrator</t>
  </si>
  <si>
    <t xml:space="preserve">New [new]</t>
  </si>
  <si>
    <t xml:space="preserve">NFR-01</t>
  </si>
  <si>
    <t xml:space="preserve">EP-08 Quality (NFR)</t>
  </si>
  <si>
    <t xml:space="preserve">Passwords stored as hashes; every form validated on client and server</t>
  </si>
  <si>
    <t xml:space="preserve">NFR-03</t>
  </si>
  <si>
    <t xml:space="preserve">All</t>
  </si>
  <si>
    <t xml:space="preserve">Site hosted on a free public URL until 17/11/2026</t>
  </si>
  <si>
    <t xml:space="preserve">US-05</t>
  </si>
  <si>
    <t xml:space="preserve">F2</t>
  </si>
  <si>
    <t xml:space="preserve">EP-03 Book Management</t>
  </si>
  <si>
    <t xml:space="preserve">Administrator adds a book (title, author, category, price &gt; 0, description, cover, stock)</t>
  </si>
  <si>
    <t xml:space="preserve">Changed – v0 US-08 [v0: 5 SP]</t>
  </si>
  <si>
    <t xml:space="preserve">US-06</t>
  </si>
  <si>
    <t xml:space="preserve">Administrator edits a book</t>
  </si>
  <si>
    <t xml:space="preserve">Kept – v0 US-09 [v0: 3 SP]</t>
  </si>
  <si>
    <t xml:space="preserve">US-07</t>
  </si>
  <si>
    <t xml:space="preserve">Administrator deletes (hides) a book without losing its record</t>
  </si>
  <si>
    <t xml:space="preserve">Kept – v0 US-10 [v0: 2 SP]</t>
  </si>
  <si>
    <t xml:space="preserve">US-08</t>
  </si>
  <si>
    <t xml:space="preserve">Administrator manages categories</t>
  </si>
  <si>
    <t xml:space="preserve">New [05 #5] [new]</t>
  </si>
  <si>
    <t xml:space="preserve">US-09</t>
  </si>
  <si>
    <t xml:space="preserve">Administrator manages authors</t>
  </si>
  <si>
    <t xml:space="preserve">NFR-02</t>
  </si>
  <si>
    <t xml:space="preserve">F2/F3</t>
  </si>
  <si>
    <t xml:space="preserve">At least 30 sample books loaded</t>
  </si>
  <si>
    <t xml:space="preserve">New – v0 task T-16 [new]</t>
  </si>
  <si>
    <t xml:space="preserve">US-10</t>
  </si>
  <si>
    <t xml:space="preserve">F3</t>
  </si>
  <si>
    <t xml:space="preserve">EP-02 Book Catalog</t>
  </si>
  <si>
    <t xml:space="preserve">Customer browses a grid of 12 books per page, newest first</t>
  </si>
  <si>
    <t xml:space="preserve">Changed – v0 US-05 (20 → 12 per page) [v0: 3 SP]</t>
  </si>
  <si>
    <t xml:space="preserve">NFR-04</t>
  </si>
  <si>
    <t xml:space="preserve">Every page works on phone, tablet and desktop</t>
  </si>
  <si>
    <t xml:space="preserve">Kept – v0 US-21 [v0: 5 SP]</t>
  </si>
  <si>
    <t xml:space="preserve">US-11</t>
  </si>
  <si>
    <t xml:space="preserve">F4</t>
  </si>
  <si>
    <t xml:space="preserve">Customer opens a book's detail page and goes back to the same list page</t>
  </si>
  <si>
    <t xml:space="preserve">Changed – v0 US-07 (+ friendly not-found, Back keeps page) [v0: 3 SP]</t>
  </si>
  <si>
    <t xml:space="preserve">US-12</t>
  </si>
  <si>
    <t xml:space="preserve">F5</t>
  </si>
  <si>
    <t xml:space="preserve">Customer searches by title or author</t>
  </si>
  <si>
    <t xml:space="preserve">Split from v0 US-06 (v0 SP is for the whole of US-06) [v0: 5 SP]</t>
  </si>
  <si>
    <t xml:space="preserve">US-13</t>
  </si>
  <si>
    <t xml:space="preserve">Customer filters by category and price range with search and pagination</t>
  </si>
  <si>
    <t xml:space="preserve">Split from v0 US-06 [new]</t>
  </si>
  <si>
    <t xml:space="preserve">NFR-05</t>
  </si>
  <si>
    <t xml:space="preserve">F3/F5</t>
  </si>
  <si>
    <t xml:space="preserve">Book list loads in under 2 seconds</t>
  </si>
  <si>
    <t xml:space="preserve">New – from a v0 US-06 AC [new]</t>
  </si>
  <si>
    <t xml:space="preserve">US-24</t>
  </si>
  <si>
    <t xml:space="preserve">F1, F2</t>
  </si>
  <si>
    <t xml:space="preserve">CR-06: Store Staff adds/edits books, manages categories and authors; cannot delete books or manage accounts</t>
  </si>
  <si>
    <t xml:space="preserve">CCB decides</t>
  </si>
  <si>
    <t xml:space="preserve">CR-06</t>
  </si>
  <si>
    <t xml:space="preserve">Change Request – Option B: Sprint 2 [new]</t>
  </si>
  <si>
    <t xml:space="preserve">US-25</t>
  </si>
  <si>
    <t xml:space="preserve">CR-06: each book shows 'Last updated by … at …'</t>
  </si>
  <si>
    <t xml:space="preserve">Change Request – Option B: Sprint 3 [new]</t>
  </si>
  <si>
    <t xml:space="preserve">R2-01</t>
  </si>
  <si>
    <t xml:space="preserve">—</t>
  </si>
  <si>
    <t xml:space="preserve">Release 2</t>
  </si>
  <si>
    <t xml:space="preserve">Customer profile and shipping addresses</t>
  </si>
  <si>
    <t xml:space="preserve">Won't (R1.0)</t>
  </si>
  <si>
    <t xml:space="preserve">Future</t>
  </si>
  <si>
    <t xml:space="preserve">v0 US-04 – supports checkout, out of scope [03 §2.2] [v0: 2 SP]</t>
  </si>
  <si>
    <t xml:space="preserve">R2-02</t>
  </si>
  <si>
    <t xml:space="preserve">Shopping cart</t>
  </si>
  <si>
    <t xml:space="preserve">v0 US-11 – out of scope [03 §2.2] [v0: 5 SP]</t>
  </si>
  <si>
    <t xml:space="preserve">R2-03</t>
  </si>
  <si>
    <t xml:space="preserve">Checkout and online payment</t>
  </si>
  <si>
    <t xml:space="preserve">v0 US-12 – out of scope [03 §2.2] [v0: 8 SP]</t>
  </si>
  <si>
    <t xml:space="preserve">R2-04</t>
  </si>
  <si>
    <t xml:space="preserve">Order history and tracking</t>
  </si>
  <si>
    <t xml:space="preserve">v0 US-13 – depends on checkout [v0: 3 SP]</t>
  </si>
  <si>
    <t xml:space="preserve">R2-05</t>
  </si>
  <si>
    <t xml:space="preserve">Staff processes orders</t>
  </si>
  <si>
    <t xml:space="preserve">v0 US-14 – depends on checkout [v0: 5 SP]</t>
  </si>
  <si>
    <t xml:space="preserve">R2-06</t>
  </si>
  <si>
    <t xml:space="preserve">Promotions and discount codes</t>
  </si>
  <si>
    <t xml:space="preserve">v0 US-15/16 (5 + 3) – depends on checkout [v0: 8 SP]</t>
  </si>
  <si>
    <t xml:space="preserve">R2-07</t>
  </si>
  <si>
    <t xml:space="preserve">Multi-store inventory and in-store pickup</t>
  </si>
  <si>
    <t xml:space="preserve">v0 US-17/18 (8 + 5) – not in F1–F5 [v0: 13 SP]</t>
  </si>
  <si>
    <t xml:space="preserve">R2-08</t>
  </si>
  <si>
    <t xml:space="preserve">Ratings and reviews</t>
  </si>
  <si>
    <t xml:space="preserve">v0 US-19 – not in F1–F5 [v0: 5 SP]</t>
  </si>
  <si>
    <t xml:space="preserve">R2-09</t>
  </si>
  <si>
    <t xml:space="preserve">Wishlist</t>
  </si>
  <si>
    <t xml:space="preserve">v0 US-20 – not in F1–F5 [v0: 2 SP]</t>
  </si>
  <si>
    <t xml:space="preserve">R2-10</t>
  </si>
  <si>
    <t xml:space="preserve">Brand style guide, recommendations, password reset by email</t>
  </si>
  <si>
    <t xml:space="preserve">v0 US-22, US-23, US-02 reset (3 + 8 + –) – not in F1–F5 [v0: 11 SP]</t>
  </si>
  <si>
    <t xml:space="preserve">Summary</t>
  </si>
  <si>
    <t xml:space="preserve">Items</t>
  </si>
  <si>
    <t xml:space="preserve">Release 1.0 total (PSP) = Sprints 1–3</t>
  </si>
  <si>
    <t xml:space="preserve">Total backlog items (required ≥ 15)</t>
  </si>
  <si>
    <t xml:space="preserve">RELEASE PLAN, CAPACITY &amp; BUDGET (BAC)</t>
  </si>
  <si>
    <t xml:space="preserve">Same figures as pm/pmp/03-master-release-plan.md §3.5–3.6. Yellow = inputs; blue = sourced constants; all other cells are formulas.</t>
  </si>
  <si>
    <t xml:space="preserve">Assumptions</t>
  </si>
  <si>
    <t xml:space="preserve">Team members</t>
  </si>
  <si>
    <t xml:space="preserve">Hồ Du Tuấn Đạt, Nguyễn Minh Chính</t>
  </si>
  <si>
    <t xml:space="preserve">Hours / person / Sprint (planned capacity)</t>
  </si>
  <si>
    <t xml:space="preserve">4 focus h/day × 5 working days (Fri, Mon–Thu) – PMP-3 §3.5 scenario, adopted by the PO on 30/10/2026; Đạt to confirm (plan/INPUTS.md §2)</t>
  </si>
  <si>
    <t xml:space="preserve">Number of Sprints (N)</t>
  </si>
  <si>
    <t xml:space="preserve">Per the spec [03 §5]</t>
  </si>
  <si>
    <t xml:space="preserve">Rate (VND / person-hour)</t>
  </si>
  <si>
    <t xml:space="preserve">Per the spec – AgileEVM [03 §6.4]</t>
  </si>
  <si>
    <t xml:space="preserve">Team capacity per Sprint (h)</t>
  </si>
  <si>
    <t xml:space="preserve">Members × hours per person</t>
  </si>
  <si>
    <t xml:space="preserve">Expected velocity (SP / Sprint)</t>
  </si>
  <si>
    <t xml:space="preserve">PSP ÷ 3 Sprints (PMP-3 §3.5); replaced by the ACTUAL velocity from Sprint Planning 2 on [03 §6.2 item 1]</t>
  </si>
  <si>
    <t xml:space="preserve">Plan per Sprint</t>
  </si>
  <si>
    <t xml:space="preserve">Leader</t>
  </si>
  <si>
    <t xml:space="preserve">Sprint Goal</t>
  </si>
  <si>
    <t xml:space="preserve">Features</t>
  </si>
  <si>
    <t xml:space="preserve">Planned SP</t>
  </si>
  <si>
    <t xml:space="preserve">Capacity (h)</t>
  </si>
  <si>
    <t xml:space="preserve">WBS planned effort (h)</t>
  </si>
  <si>
    <t xml:space="preserve">Hours / SP</t>
  </si>
  <si>
    <t xml:space="preserve">Cumulative PV (VND)</t>
  </si>
  <si>
    <t xml:space="preserve">SP vs. velocity</t>
  </si>
  <si>
    <t xml:space="preserve">Hours vs. capacity</t>
  </si>
  <si>
    <t xml:space="preserve">23/10 – 29/10</t>
  </si>
  <si>
    <t xml:space="preserve">F1 + hosting</t>
  </si>
  <si>
    <t xml:space="preserve">30/10 – 05/11</t>
  </si>
  <si>
    <t xml:space="preserve">F2, F3 (+ CR-06 US-24 if approved)</t>
  </si>
  <si>
    <t xml:space="preserve">06/11 – 12/11</t>
  </si>
  <si>
    <t xml:space="preserve">F4, F5 (+ CR-06 US-25 if approved) + Release v1.0</t>
  </si>
  <si>
    <t xml:space="preserve">Total</t>
  </si>
  <si>
    <t xml:space="preserve">Sprint 1 planned 48 h against 40 h capacity: the overload is recorded, not hidden (S1_Backlog PO note, issue I-01). Sprints 2 and 3 are planned within capacity.</t>
  </si>
  <si>
    <t xml:space="preserve">Baseline metrics</t>
  </si>
  <si>
    <t xml:space="preserve">Metric</t>
  </si>
  <si>
    <t xml:space="preserve">Value</t>
  </si>
  <si>
    <t xml:space="preserve">Formula / note</t>
  </si>
  <si>
    <t xml:space="preserve">BAC (VND) = planned person-hours of the release × rate</t>
  </si>
  <si>
    <t xml:space="preserve">40 h × 3 Sprints = 120 h × 200,000 VND (PMP-3 §3.6, plan)</t>
  </si>
  <si>
    <t xml:space="preserve">PSP – total planned Story Points of Release 1.0</t>
  </si>
  <si>
    <t xml:space="preserve">TBD until the Planning Poker session (sheet 8)</t>
  </si>
  <si>
    <t xml:space="preserve">PSP matches sheet 3</t>
  </si>
  <si>
    <t xml:space="preserve">WBS task hours Sprints 1–3 (cross-check)</t>
  </si>
  <si>
    <t xml:space="preserve">Sum of task estimates; differs from 120 h because Sprint 1 was overloaded</t>
  </si>
  <si>
    <t xml:space="preserve">Closure effort (h) – outside BAC</t>
  </si>
  <si>
    <t xml:space="preserve">13/11 – 17/11, after the 3 Sprints</t>
  </si>
  <si>
    <t xml:space="preserve">Rebaseline after CR-06 (only if the CCB approves)</t>
  </si>
  <si>
    <t xml:space="preserve">Source / note</t>
  </si>
  <si>
    <t xml:space="preserve">CCB decision</t>
  </si>
  <si>
    <t xml:space="preserve">Team recommendation: Option B (PO, 30/10/2026). Enter the Sponsor's decision after the CCB</t>
  </si>
  <si>
    <t xml:space="preserve">CR-06 hours added</t>
  </si>
  <si>
    <t xml:space="preserve">pm/change/CR-06-impact-analysis.md §2.2 – Option B: 8.5 h in S2 + 3.5 h in S3</t>
  </si>
  <si>
    <t xml:space="preserve">BAC v1.1 (VND)</t>
  </si>
  <si>
    <t xml:space="preserve">Baseline v1.0 is kept; v1.1 is added [03 §6.2 item 3]</t>
  </si>
  <si>
    <t xml:space="preserve">PSP v1.1 (SP)</t>
  </si>
  <si>
    <t xml:space="preserve">Note: Sprint Planning 2 and 3 use the ACTUAL velocity of the previous Sprint, not the expected figure [03 §6.2 item 1]. A 2-member team adjusts capacity and the plan, never the F1–F5 scope [03 §2.2].</t>
  </si>
  <si>
    <t xml:space="preserve">ROLES &amp; DOCUMENT RESPONSIBILITIES</t>
  </si>
  <si>
    <t xml:space="preserve">A = accountable (one per row) · R = does the work · C = consulted / reviews · I = informed</t>
  </si>
  <si>
    <t xml:space="preserve">Notes</t>
  </si>
  <si>
    <t xml:space="preserve">Scrum role</t>
  </si>
  <si>
    <t xml:space="preserve">Developer; Sprint Leader S1, S3</t>
  </si>
  <si>
    <t xml:space="preserve">Product Owner + Developer; Sprint Leader S2</t>
  </si>
  <si>
    <t xml:space="preserve">Fixed PO, rotating Leader [03 §4.1]</t>
  </si>
  <si>
    <t xml:space="preserve">PMP 1 – Project Charter</t>
  </si>
  <si>
    <t xml:space="preserve">C</t>
  </si>
  <si>
    <t xml:space="preserve">A/R</t>
  </si>
  <si>
    <t xml:space="preserve">From Lab 1–2 (Chính was Project Lead / BA)</t>
  </si>
  <si>
    <t xml:space="preserve">PMP 2 – Tailored Scrum process</t>
  </si>
  <si>
    <t xml:space="preserve">From TA Process.docx</t>
  </si>
  <si>
    <t xml:space="preserve">PMP 3 – Master / Release Plan</t>
  </si>
  <si>
    <t xml:space="preserve">This workbook</t>
  </si>
  <si>
    <t xml:space="preserve">PMP 4 – Quality plan (3-level DoD, metrics)</t>
  </si>
  <si>
    <t xml:space="preserve">PO accepts Done items</t>
  </si>
  <si>
    <t xml:space="preserve">PMP 5 – Risk management plan</t>
  </si>
  <si>
    <t xml:space="preserve">Risks reviewed every Sprint</t>
  </si>
  <si>
    <t xml:space="preserve">PMP 6 – Configuration management plan</t>
  </si>
  <si>
    <t xml:space="preserve">Repo owner</t>
  </si>
  <si>
    <t xml:space="preserve">PMP 7 – Communication plan</t>
  </si>
  <si>
    <t xml:space="preserve">From Lab 1 §4 (Đạt) and Assign.xlsx</t>
  </si>
  <si>
    <t xml:space="preserve">Product Backlog, AC, Definition of Ready</t>
  </si>
  <si>
    <t xml:space="preserve">PO orders the backlog</t>
  </si>
  <si>
    <t xml:space="preserve">Planning Poker (log + evidence)</t>
  </si>
  <si>
    <t xml:space="preserve">R</t>
  </si>
  <si>
    <t xml:space="preserve">Both vote; PO reads the stories</t>
  </si>
  <si>
    <t xml:space="preserve">Sprint Backlog + Jira (each Sprint)</t>
  </si>
  <si>
    <t xml:space="preserve">A/R in S1, S3</t>
  </si>
  <si>
    <t xml:space="preserve">A/R in S2</t>
  </si>
  <si>
    <t xml:space="preserve">Sprint Leader keeps the board current</t>
  </si>
  <si>
    <t xml:space="preserve">Change Request CR-06 &amp; CCB</t>
  </si>
  <si>
    <t xml:space="preserve">R (reviews impact analysis)</t>
  </si>
  <si>
    <t xml:space="preserve">A/R (PO in the CCB)</t>
  </si>
  <si>
    <t xml:space="preserve">Sponsor decides</t>
  </si>
  <si>
    <t xml:space="preserve">Rebaseline + configuration tags</t>
  </si>
  <si>
    <t xml:space="preserve">R (tags)</t>
  </si>
  <si>
    <t xml:space="preserve">baseline-v1.0, baseline-v1.1, v1.0</t>
  </si>
  <si>
    <t xml:space="preserve">Test cases from AC</t>
  </si>
  <si>
    <t xml:space="preserve">R (runs F2/F3, F4/F5, regression)</t>
  </si>
  <si>
    <t xml:space="preserve">A/R (writes F1–F5 test cases; manual F1 run)</t>
  </si>
  <si>
    <t xml:space="preserve">≥ 1 test case per AC</t>
  </si>
  <si>
    <t xml:space="preserve">UAT script &amp; acceptance record</t>
  </si>
  <si>
    <t xml:space="preserve">Run at Review 3 (13/11)</t>
  </si>
  <si>
    <t xml:space="preserve">Hosting &amp; Release v1.0</t>
  </si>
  <si>
    <t xml:space="preserve">A/R (Supabase + Vercel)</t>
  </si>
  <si>
    <t xml:space="preserve">Tag v1.0 + release notes</t>
  </si>
  <si>
    <t xml:space="preserve">EVM &amp; Final Report</t>
  </si>
  <si>
    <t xml:space="preserve">R (PMP / Workbook Final)</t>
  </si>
  <si>
    <t xml:space="preserve">A/R (Final Report, EVM)</t>
  </si>
  <si>
    <t xml:space="preserve">Hours from Jira Completed Work</t>
  </si>
  <si>
    <t xml:space="preserve">Slides &amp; demo video</t>
  </si>
  <si>
    <t xml:space="preserve">Everyone presents</t>
  </si>
  <si>
    <t xml:space="preserve">Member evaluation c0_Eval</t>
  </si>
  <si>
    <t xml:space="preserve">Sprint 1, Sprint 3</t>
  </si>
  <si>
    <t xml:space="preserve">Sprint Leader evaluates members</t>
  </si>
  <si>
    <t xml:space="preserve">Development Story Points per person (main developer, sheet 3)</t>
  </si>
  <si>
    <t xml:space="preserve">Member</t>
  </si>
  <si>
    <t xml:space="preserve">Total SP</t>
  </si>
  <si>
    <t xml:space="preserve">Planned hours per person (sheet 2, 'Both' split 50/50) vs. capacity</t>
  </si>
  <si>
    <t xml:space="preserve">Capacity per person (h)</t>
  </si>
  <si>
    <t xml:space="preserve">SUBMISSION SCHEDULE &amp; FILE NAMES</t>
  </si>
  <si>
    <t xml:space="preserve">Prefix HK261_SPM_FP_Team6_ · upload files individually, no zip · Excel files are cumulative · late: −10 % of the Sprint score per 5 h [03 §4.2, §7]</t>
  </si>
  <si>
    <t xml:space="preserve">Submission</t>
  </si>
  <si>
    <t xml:space="preserve">Due</t>
  </si>
  <si>
    <t xml:space="preserve">Submitted by</t>
  </si>
  <si>
    <t xml:space="preserve">File name</t>
  </si>
  <si>
    <t xml:space="preserve">Content</t>
  </si>
  <si>
    <t xml:space="preserve">Submitted?</t>
  </si>
  <si>
    <t xml:space="preserve">eLearning item</t>
  </si>
  <si>
    <t xml:space="preserve">26/10 19:35 (late)</t>
  </si>
  <si>
    <t xml:space="preserve">HK261_SPM_FP_Team6_MasterPlan.xlsx</t>
  </si>
  <si>
    <t xml:space="preserve">FinalProject: Master Plan and Timeline – this workbook</t>
  </si>
  <si>
    <t xml:space="preserve">No</t>
  </si>
  <si>
    <t xml:space="preserve">23:59 Thu 29/10</t>
  </si>
  <si>
    <t xml:space="preserve">HK261_SPM_FP_Team6_c1_ProjectPlan.docx</t>
  </si>
  <si>
    <t xml:space="preserve">PMP v1.0 (7 parts)</t>
  </si>
  <si>
    <t xml:space="preserve">HK261_SPM_FP_Team6_c2_SprintBacklog_S1.xlsx</t>
  </si>
  <si>
    <t xml:space="preserve">Product Backlog, Planning Poker log, Release Plan, Sprint Backlog S1, Burndown, Risk Register, Config Items</t>
  </si>
  <si>
    <t xml:space="preserve">HK261_SPM_FP_Team6_c3_SprintReport_S1.docx</t>
  </si>
  <si>
    <t xml:space="preserve">Sprint Planning, Daily log, F1 test cases, Review, Retro, Status</t>
  </si>
  <si>
    <t xml:space="preserve">HK261_SPM_FP_Team6_c0_Eval_S1.xlsx</t>
  </si>
  <si>
    <t xml:space="preserve">Leader evaluates members</t>
  </si>
  <si>
    <t xml:space="preserve">23:59 Thu 05/11</t>
  </si>
  <si>
    <t xml:space="preserve">HK261_SPM_FP_Team6_c2_SprintBacklog_S2.xlsx</t>
  </si>
  <si>
    <t xml:space="preserve">Updated workbook (Change Log, Risk, Issue Log, S2)</t>
  </si>
  <si>
    <t xml:space="preserve">HK261_SPM_FP_Team6_c3_SprintReport_S2.docx</t>
  </si>
  <si>
    <t xml:space="preserve">Sprint 2 report + F2, F3 test cases + Weekly Status</t>
  </si>
  <si>
    <t xml:space="preserve">HK261_SPM_FP_Team6_c4_ChangeRequest_CR01.docx</t>
  </si>
  <si>
    <t xml:space="preserve">CR form, impact analysis, CCB decision (CR01 vs CR06 file name: ask the lecturer)</t>
  </si>
  <si>
    <t xml:space="preserve">HK261_SPM_FP_Team6_c0_Eval_S2.xlsx</t>
  </si>
  <si>
    <t xml:space="preserve">23:59 Thu 12/11</t>
  </si>
  <si>
    <t xml:space="preserve">HK261_SPM_FP_Team6_c2_SprintBacklog_S3.xlsx</t>
  </si>
  <si>
    <t xml:space="preserve">Updated workbook (S3, draft EVM)</t>
  </si>
  <si>
    <t xml:space="preserve">HK261_SPM_FP_Team6_c3_SprintReport_S3.docx</t>
  </si>
  <si>
    <t xml:space="preserve">Sprint 3 report + F4, F5 test cases + release notes</t>
  </si>
  <si>
    <t xml:space="preserve">HK261_SPM_FP_Team6_c5_UAT.docx</t>
  </si>
  <si>
    <t xml:space="preserve">UAT scripts and acceptance record</t>
  </si>
  <si>
    <t xml:space="preserve">HK261_SPM_FP_Team6_c0_Eval_S3.xlsx</t>
  </si>
  <si>
    <t xml:space="preserve">Final</t>
  </si>
  <si>
    <t xml:space="preserve">23:59 Sun 15/11</t>
  </si>
  <si>
    <t xml:space="preserve">HK261_SPM_FP_Team6_c1_ProjectPlan_Final.docx</t>
  </si>
  <si>
    <t xml:space="preserve">PMP updated after lecturer feedback and the CR</t>
  </si>
  <si>
    <t xml:space="preserve">HK261_SPM_FP_Team6_c2_SprintBacklog_Final.xlsx</t>
  </si>
  <si>
    <t xml:space="preserve">Complete workbook incl. EVM sheet</t>
  </si>
  <si>
    <t xml:space="preserve">HK261_SPM_FP_Team6_c6_FinalReport.docx</t>
  </si>
  <si>
    <t xml:space="preserve">Final Report + Lessons Learned + hosted URL + repo/board/video links</t>
  </si>
  <si>
    <t xml:space="preserve">HK261_SPM_FP_Team6_c6_Slides.pptx</t>
  </si>
  <si>
    <t xml:space="preserve">Final presentation slides</t>
  </si>
  <si>
    <t xml:space="preserve">Each member</t>
  </si>
  <si>
    <t xml:space="preserve">Eval360_Team6_&lt;StudentID&gt;.xlsx</t>
  </si>
  <si>
    <t xml:space="preserve">One 360° evaluation file per member</t>
  </si>
  <si>
    <t xml:space="preserve">Final presentation: 07:00 Tuesday 17/11/2026 – 10 min + 5 min Q&amp;A; every member presents [03 §8].</t>
  </si>
  <si>
    <t xml:space="preserve">TIMELINE 23/10 – 17/11/2026</t>
  </si>
  <si>
    <t xml:space="preserve">Bars come from the planned dates in sheet 2. Navy = Sprint/phase · grey = work package · black = milestone · today's column is outlined in red.</t>
  </si>
  <si>
    <t xml:space="preserve">Start</t>
  </si>
  <si>
    <t xml:space="preserve">Finish</t>
  </si>
  <si>
    <t xml:space="preserve">L1</t>
  </si>
  <si>
    <t xml:space="preserve">L2</t>
  </si>
  <si>
    <t xml:space="preserve">MS</t>
  </si>
  <si>
    <t xml:space="preserve">PLANNING POKER LOG – Release 1.0 (lecturer template BM01)</t>
  </si>
  <si>
    <t xml:space="preserve">Fill DURING the session with the real cards. Fibonacci 1, 2, 3, 5, 8, 13 (split items &gt; 13); reveal together; highest and lowest voters explain; max 3 rounds; still different → take the higher value. Evidence photo: pm/backlog/evidence/.</t>
  </si>
  <si>
    <t xml:space="preserve">Session date/time</t>
  </si>
  <si>
    <t xml:space="preserve">Role</t>
  </si>
  <si>
    <t xml:space="preserve">Channel / place</t>
  </si>
  <si>
    <t xml:space="preserve">Developer · Sprint Leader S1, S3</t>
  </si>
  <si>
    <t xml:space="preserve">Facilitator</t>
  </si>
  <si>
    <t xml:space="preserve">Nguyễn Minh Chính (PO reads each story and its AC)</t>
  </si>
  <si>
    <t xml:space="preserve">Product Owner + Developer · Sprint Leader S2</t>
  </si>
  <si>
    <t xml:space="preserve">US ID</t>
  </si>
  <si>
    <t xml:space="preserve">Round 1 (cards: Đạt, Chính)</t>
  </si>
  <si>
    <t xml:space="preserve">Round 2</t>
  </si>
  <si>
    <t xml:space="preserve">Round 3</t>
  </si>
  <si>
    <t xml:space="preserve">Final SP</t>
  </si>
  <si>
    <t xml:space="preserve">Reasoning that led to agreement / notes</t>
  </si>
  <si>
    <t xml:space="preserve">Questions the team asked the Product Owner (record at least 3) – proposed below; keep only those really asked and write the PO's answer</t>
  </si>
  <si>
    <t xml:space="preserve">Question</t>
  </si>
  <si>
    <t xml:space="preserve">PO answer</t>
  </si>
  <si>
    <t xml:space="preserve">US-05: is ISBN required for a book in Release 1.0 (F2 lists title, author, category, price, description, cover, stock)?</t>
  </si>
  <si>
    <t xml:space="preserve">NFR-05: is the &lt; 2 s list load measured on a warm server, or must it also hold after a free-hosting cold start?</t>
  </si>
  <si>
    <t xml:space="preserve">US-08 / US-09: can a category or author that is still used by books be removed, or only hidden?</t>
  </si>
  <si>
    <t xml:space="preserve">US-24 (CR-06): may Store Staff delete categories and authors, or only add and edit them?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</si>
</sst>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0%"/>
    <numFmt numFmtId="167" formatCode="dd/mm"/>
    <numFmt numFmtId="168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9"/>
      <color rgb="FF52514E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hair">
        <color rgb="FFD9D9D9"/>
      </left>
      <right style="hair">
        <color rgb="FFD9D9D9"/>
      </right>
      <top style="hair">
        <color rgb="FFD9D9D9"/>
      </top>
      <bottom style="hair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2" borderId="1" xfId="0" applyFont="true" applyBorder="true" applyAlignment="true" applyProtection="false">
      <alignment horizontal="center" vertical="bottom" textRotation="9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0B0B0B"/>
        </patternFill>
      </fill>
    </dxf>
    <dxf>
      <fill>
        <patternFill>
          <bgColor rgb="FF1F3864"/>
        </patternFill>
      </fill>
    </dxf>
    <dxf>
      <fill>
        <patternFill>
          <bgColor rgb="FFA6A6A6"/>
        </patternFill>
      </fill>
    </dxf>
    <dxf>
      <border diagonalUp="false" diagonalDown="false">
        <left style="medium">
          <color rgb="FFC00000"/>
        </left>
        <right style="medium">
          <color rgb="FFC00000"/>
        </right>
        <top/>
        <bottom/>
        <diagonal/>
      </border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F3864"/>
      <rgbColor rgb="FF339966"/>
      <rgbColor rgb="FF0B0B0B"/>
      <rgbColor rgb="FF333300"/>
      <rgbColor rgb="FF993300"/>
      <rgbColor rgb="FF993366"/>
      <rgbColor rgb="FF333399"/>
      <rgbColor rgb="FF5251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22"/>
    <col collapsed="false" customWidth="true" hidden="false" outlineLevel="0" max="5" min="5" style="0" width="36"/>
    <col collapsed="false" customWidth="true" hidden="false" outlineLevel="0" max="6" min="6" style="0" width="30"/>
    <col collapsed="false" customWidth="true" hidden="false" outlineLevel="0" max="7" min="7" style="0" width="40"/>
    <col collapsed="false" customWidth="true" hidden="false" outlineLevel="0" max="8" min="8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true" outlineLevel="0" collapsed="false">
      <c r="A4" s="3" t="s">
        <v>2</v>
      </c>
      <c r="B4" s="4" t="s">
        <v>3</v>
      </c>
      <c r="C4" s="4"/>
      <c r="D4" s="4"/>
      <c r="E4" s="4"/>
      <c r="F4" s="4"/>
      <c r="G4" s="4"/>
      <c r="H4" s="4"/>
    </row>
    <row r="5" customFormat="false" ht="15" hidden="false" customHeight="true" outlineLevel="0" collapsed="false">
      <c r="A5" s="3" t="s">
        <v>4</v>
      </c>
      <c r="B5" s="4" t="s">
        <v>5</v>
      </c>
      <c r="C5" s="4"/>
      <c r="D5" s="4"/>
      <c r="E5" s="4"/>
      <c r="F5" s="4"/>
      <c r="G5" s="4"/>
      <c r="H5" s="4"/>
    </row>
    <row r="6" customFormat="false" ht="15" hidden="false" customHeight="true" outlineLevel="0" collapsed="false">
      <c r="A6" s="3" t="s">
        <v>6</v>
      </c>
      <c r="B6" s="4" t="s">
        <v>7</v>
      </c>
      <c r="C6" s="4"/>
      <c r="D6" s="4"/>
      <c r="E6" s="4"/>
      <c r="F6" s="4"/>
      <c r="G6" s="4"/>
      <c r="H6" s="4"/>
    </row>
    <row r="7" customFormat="false" ht="15" hidden="false" customHeight="true" outlineLevel="0" collapsed="false">
      <c r="A7" s="3" t="s">
        <v>8</v>
      </c>
      <c r="B7" s="4" t="s">
        <v>9</v>
      </c>
      <c r="C7" s="4"/>
      <c r="D7" s="4"/>
      <c r="E7" s="4"/>
      <c r="F7" s="4"/>
      <c r="G7" s="4"/>
      <c r="H7" s="4"/>
    </row>
    <row r="8" customFormat="false" ht="23.85" hidden="false" customHeight="true" outlineLevel="0" collapsed="false">
      <c r="A8" s="3" t="s">
        <v>10</v>
      </c>
      <c r="B8" s="4" t="s">
        <v>11</v>
      </c>
      <c r="C8" s="4"/>
      <c r="D8" s="4"/>
      <c r="E8" s="4"/>
      <c r="F8" s="4"/>
      <c r="G8" s="4"/>
      <c r="H8" s="4"/>
    </row>
    <row r="9" customFormat="false" ht="15" hidden="false" customHeight="true" outlineLevel="0" collapsed="false">
      <c r="A9" s="3" t="s">
        <v>12</v>
      </c>
      <c r="B9" s="4" t="s">
        <v>13</v>
      </c>
      <c r="C9" s="4"/>
      <c r="D9" s="4"/>
      <c r="E9" s="4"/>
      <c r="F9" s="4"/>
      <c r="G9" s="4"/>
      <c r="H9" s="4"/>
    </row>
    <row r="10" customFormat="false" ht="15" hidden="false" customHeight="false" outlineLevel="0" collapsed="false">
      <c r="A10" s="3" t="s">
        <v>14</v>
      </c>
      <c r="B10" s="4" t="str">
        <f aca="false">"Sprints 1–3: "&amp;TEXT(4_ReleasePlan!H18,"0.0")&amp;" h planned (WBS) → BAC = "&amp;TEXT(4_ReleasePlan!B23,"#,##0")&amp;" VND · capacity "&amp;TEXT(4_ReleasePlan!G18,"0")&amp;" h · PSP: "&amp;4_ReleasePlan!B24</f>
        <v>Sprints 1–3: 123.3 h planned (WBS) → BAC = 24,000,000 VND · capacity 120 h · PSP: TBD</v>
      </c>
      <c r="C10" s="4"/>
      <c r="D10" s="4"/>
      <c r="E10" s="4"/>
      <c r="F10" s="4"/>
      <c r="G10" s="4"/>
      <c r="H10" s="4"/>
    </row>
    <row r="12" customFormat="false" ht="15" hidden="false" customHeight="false" outlineLevel="0" collapsed="false">
      <c r="A12" s="5" t="s">
        <v>15</v>
      </c>
    </row>
    <row r="13" customFormat="false" ht="15" hidden="false" customHeight="false" outlineLevel="0" collapsed="false">
      <c r="A13" s="6" t="s">
        <v>16</v>
      </c>
      <c r="B13" s="6" t="s">
        <v>17</v>
      </c>
      <c r="C13" s="6" t="s">
        <v>18</v>
      </c>
      <c r="D13" s="6" t="s">
        <v>19</v>
      </c>
      <c r="E13" s="6" t="s">
        <v>20</v>
      </c>
      <c r="F13" s="6" t="s">
        <v>21</v>
      </c>
      <c r="G13" s="6" t="s">
        <v>22</v>
      </c>
      <c r="H13" s="6" t="s">
        <v>23</v>
      </c>
    </row>
    <row r="14" customFormat="false" ht="57.75" hidden="false" customHeight="true" outlineLevel="0" collapsed="false">
      <c r="A14" s="7" t="s">
        <v>24</v>
      </c>
      <c r="B14" s="7" t="s">
        <v>25</v>
      </c>
      <c r="C14" s="7" t="s">
        <v>26</v>
      </c>
      <c r="D14" s="7" t="s">
        <v>27</v>
      </c>
      <c r="E14" s="7" t="s">
        <v>28</v>
      </c>
      <c r="F14" s="7" t="s">
        <v>29</v>
      </c>
      <c r="G14" s="7" t="s">
        <v>30</v>
      </c>
      <c r="H14" s="7" t="s">
        <v>31</v>
      </c>
    </row>
    <row r="15" customFormat="false" ht="57.75" hidden="false" customHeight="true" outlineLevel="0" collapsed="false">
      <c r="A15" s="7" t="s">
        <v>32</v>
      </c>
      <c r="B15" s="7" t="s">
        <v>33</v>
      </c>
      <c r="C15" s="7" t="s">
        <v>27</v>
      </c>
      <c r="D15" s="7" t="s">
        <v>27</v>
      </c>
      <c r="E15" s="7" t="s">
        <v>34</v>
      </c>
      <c r="F15" s="7" t="s">
        <v>35</v>
      </c>
      <c r="G15" s="7" t="s">
        <v>36</v>
      </c>
      <c r="H15" s="7" t="s">
        <v>37</v>
      </c>
    </row>
    <row r="16" customFormat="false" ht="57.75" hidden="false" customHeight="true" outlineLevel="0" collapsed="false">
      <c r="A16" s="7" t="s">
        <v>38</v>
      </c>
      <c r="B16" s="7" t="s">
        <v>39</v>
      </c>
      <c r="C16" s="7" t="s">
        <v>26</v>
      </c>
      <c r="D16" s="7" t="s">
        <v>27</v>
      </c>
      <c r="E16" s="7" t="s">
        <v>40</v>
      </c>
      <c r="F16" s="7" t="s">
        <v>41</v>
      </c>
      <c r="G16" s="7" t="s">
        <v>42</v>
      </c>
      <c r="H16" s="7" t="s">
        <v>43</v>
      </c>
    </row>
    <row r="17" customFormat="false" ht="57.75" hidden="false" customHeight="true" outlineLevel="0" collapsed="false">
      <c r="A17" s="7" t="s">
        <v>44</v>
      </c>
      <c r="B17" s="7" t="s">
        <v>45</v>
      </c>
      <c r="C17" s="7" t="s">
        <v>46</v>
      </c>
      <c r="D17" s="7" t="s">
        <v>27</v>
      </c>
      <c r="E17" s="7" t="s">
        <v>47</v>
      </c>
      <c r="F17" s="7" t="s">
        <v>48</v>
      </c>
      <c r="G17" s="7" t="s">
        <v>49</v>
      </c>
      <c r="H17" s="7" t="s">
        <v>50</v>
      </c>
    </row>
    <row r="19" customFormat="false" ht="15" hidden="false" customHeight="false" outlineLevel="0" collapsed="false">
      <c r="A19" s="5" t="s">
        <v>51</v>
      </c>
    </row>
    <row r="20" customFormat="false" ht="15" hidden="false" customHeight="false" outlineLevel="0" collapsed="false">
      <c r="A20" s="6" t="s">
        <v>52</v>
      </c>
      <c r="B20" s="6" t="s">
        <v>24</v>
      </c>
      <c r="C20" s="6" t="s">
        <v>32</v>
      </c>
      <c r="D20" s="6" t="s">
        <v>38</v>
      </c>
      <c r="E20" s="6" t="s">
        <v>53</v>
      </c>
      <c r="F20" s="6" t="s">
        <v>54</v>
      </c>
      <c r="G20" s="6" t="s">
        <v>55</v>
      </c>
    </row>
    <row r="21" customFormat="false" ht="57.75" hidden="false" customHeight="true" outlineLevel="0" collapsed="false">
      <c r="A21" s="7" t="s">
        <v>56</v>
      </c>
      <c r="B21" s="7" t="s">
        <v>26</v>
      </c>
      <c r="C21" s="7" t="s">
        <v>57</v>
      </c>
      <c r="D21" s="7" t="s">
        <v>26</v>
      </c>
      <c r="E21" s="7" t="s">
        <v>58</v>
      </c>
      <c r="F21" s="7" t="s">
        <v>59</v>
      </c>
      <c r="G21" s="7" t="s">
        <v>60</v>
      </c>
    </row>
    <row r="22" customFormat="false" ht="57.75" hidden="false" customHeight="true" outlineLevel="0" collapsed="false">
      <c r="A22" s="7" t="s">
        <v>61</v>
      </c>
      <c r="B22" s="7" t="s">
        <v>27</v>
      </c>
      <c r="C22" s="7" t="s">
        <v>62</v>
      </c>
      <c r="D22" s="7" t="s">
        <v>27</v>
      </c>
      <c r="E22" s="7" t="s">
        <v>63</v>
      </c>
      <c r="F22" s="7" t="s">
        <v>64</v>
      </c>
      <c r="G22" s="7" t="s">
        <v>65</v>
      </c>
    </row>
    <row r="23" customFormat="false" ht="15" hidden="false" customHeight="false" outlineLevel="0" collapsed="false">
      <c r="A23" s="2" t="s">
        <v>66</v>
      </c>
    </row>
    <row r="25" customFormat="false" ht="15" hidden="false" customHeight="false" outlineLevel="0" collapsed="false">
      <c r="A25" s="5" t="s">
        <v>67</v>
      </c>
    </row>
    <row r="26" customFormat="false" ht="15" hidden="false" customHeight="true" outlineLevel="0" collapsed="false">
      <c r="A26" s="6" t="s">
        <v>68</v>
      </c>
      <c r="B26" s="6" t="s">
        <v>69</v>
      </c>
      <c r="C26" s="6" t="s">
        <v>70</v>
      </c>
      <c r="D26" s="6"/>
      <c r="E26" s="6" t="s">
        <v>71</v>
      </c>
      <c r="F26" s="6"/>
      <c r="G26" s="6" t="s">
        <v>72</v>
      </c>
      <c r="H26" s="6" t="s">
        <v>73</v>
      </c>
    </row>
    <row r="27" customFormat="false" ht="69.75" hidden="false" customHeight="true" outlineLevel="0" collapsed="false">
      <c r="A27" s="7" t="n">
        <v>1</v>
      </c>
      <c r="B27" s="3" t="s">
        <v>74</v>
      </c>
      <c r="C27" s="4" t="s">
        <v>75</v>
      </c>
      <c r="D27" s="4"/>
      <c r="E27" s="4" t="s">
        <v>76</v>
      </c>
      <c r="F27" s="4"/>
      <c r="G27" s="8" t="s">
        <v>77</v>
      </c>
      <c r="H27" s="8"/>
    </row>
    <row r="28" customFormat="false" ht="69.75" hidden="false" customHeight="true" outlineLevel="0" collapsed="false">
      <c r="A28" s="7" t="n">
        <v>2</v>
      </c>
      <c r="B28" s="3" t="s">
        <v>78</v>
      </c>
      <c r="C28" s="4" t="s">
        <v>79</v>
      </c>
      <c r="D28" s="4"/>
      <c r="E28" s="4" t="s">
        <v>80</v>
      </c>
      <c r="F28" s="4"/>
      <c r="G28" s="8" t="s">
        <v>77</v>
      </c>
      <c r="H28" s="8"/>
    </row>
    <row r="29" customFormat="false" ht="69.75" hidden="false" customHeight="true" outlineLevel="0" collapsed="false">
      <c r="A29" s="7" t="n">
        <v>3</v>
      </c>
      <c r="B29" s="3" t="s">
        <v>81</v>
      </c>
      <c r="C29" s="4" t="s">
        <v>82</v>
      </c>
      <c r="D29" s="4"/>
      <c r="E29" s="4" t="s">
        <v>83</v>
      </c>
      <c r="F29" s="4"/>
      <c r="G29" s="8" t="s">
        <v>77</v>
      </c>
      <c r="H29" s="8"/>
    </row>
    <row r="30" customFormat="false" ht="69.75" hidden="false" customHeight="true" outlineLevel="0" collapsed="false">
      <c r="A30" s="7" t="n">
        <v>4</v>
      </c>
      <c r="B30" s="3" t="s">
        <v>84</v>
      </c>
      <c r="C30" s="4" t="str">
        <f aca="false">"Capacity "&amp;4_ReleasePlan!B6&amp;" h/person/Sprint = "&amp;4_ReleasePlan!B9&amp;" h/Sprint (plan, PO 30/10). BAC = "&amp;TEXT(4_ReleasePlan!B23,"#,##0")&amp;" VND. Sprint 1 was planned at 48 h, "&amp;TEXT(4_ReleasePlan!H15-4_ReleasePlan!G15,"0.0")&amp;" h over capacity – recorded as a cause of issue I-01."</f>
        <v>Capacity 20 h/person/Sprint = 40 h/Sprint (plan, PO 30/10). BAC = 24,000,000 VND. Sprint 1 was planned at 48 h, 8.0 h over capacity – recorded as a cause of issue I-01.</v>
      </c>
      <c r="D30" s="4"/>
      <c r="E30" s="4" t="s">
        <v>85</v>
      </c>
      <c r="F30" s="4"/>
      <c r="G30" s="8" t="s">
        <v>77</v>
      </c>
      <c r="H30" s="8"/>
    </row>
    <row r="31" customFormat="false" ht="69.75" hidden="false" customHeight="true" outlineLevel="0" collapsed="false">
      <c r="A31" s="7" t="n">
        <v>5</v>
      </c>
      <c r="B31" s="3" t="s">
        <v>86</v>
      </c>
      <c r="C31" s="4" t="s">
        <v>87</v>
      </c>
      <c r="D31" s="4"/>
      <c r="E31" s="4" t="s">
        <v>88</v>
      </c>
      <c r="F31" s="4"/>
      <c r="G31" s="8" t="s">
        <v>77</v>
      </c>
      <c r="H31" s="8"/>
    </row>
    <row r="32" customFormat="false" ht="69.75" hidden="false" customHeight="true" outlineLevel="0" collapsed="false">
      <c r="A32" s="7" t="n">
        <v>6</v>
      </c>
      <c r="B32" s="3" t="s">
        <v>89</v>
      </c>
      <c r="C32" s="4" t="s">
        <v>90</v>
      </c>
      <c r="D32" s="4"/>
      <c r="E32" s="4" t="s">
        <v>91</v>
      </c>
      <c r="F32" s="4"/>
      <c r="G32" s="8" t="s">
        <v>77</v>
      </c>
      <c r="H32" s="8"/>
    </row>
    <row r="33" customFormat="false" ht="69.75" hidden="false" customHeight="true" outlineLevel="0" collapsed="false">
      <c r="A33" s="7" t="n">
        <v>7</v>
      </c>
      <c r="B33" s="3" t="s">
        <v>92</v>
      </c>
      <c r="C33" s="4" t="s">
        <v>93</v>
      </c>
      <c r="D33" s="4"/>
      <c r="E33" s="4" t="s">
        <v>94</v>
      </c>
      <c r="F33" s="4"/>
      <c r="G33" s="8" t="s">
        <v>77</v>
      </c>
      <c r="H33" s="8"/>
    </row>
    <row r="34" customFormat="false" ht="69.75" hidden="false" customHeight="true" outlineLevel="0" collapsed="false">
      <c r="A34" s="7" t="n">
        <v>8</v>
      </c>
      <c r="B34" s="3" t="s">
        <v>95</v>
      </c>
      <c r="C34" s="4" t="s">
        <v>96</v>
      </c>
      <c r="D34" s="4"/>
      <c r="E34" s="4" t="s">
        <v>97</v>
      </c>
      <c r="F34" s="4"/>
      <c r="G34" s="8" t="s">
        <v>77</v>
      </c>
      <c r="H34" s="8"/>
    </row>
    <row r="35" customFormat="false" ht="69.75" hidden="false" customHeight="true" outlineLevel="0" collapsed="false">
      <c r="A35" s="7" t="n">
        <v>9</v>
      </c>
      <c r="B35" s="3" t="s">
        <v>98</v>
      </c>
      <c r="C35" s="4" t="s">
        <v>99</v>
      </c>
      <c r="D35" s="4"/>
      <c r="E35" s="4" t="s">
        <v>100</v>
      </c>
      <c r="F35" s="4"/>
      <c r="G35" s="8" t="s">
        <v>77</v>
      </c>
      <c r="H35" s="8"/>
    </row>
    <row r="36" customFormat="false" ht="15" hidden="false" customHeight="false" outlineLevel="0" collapsed="false">
      <c r="F36" s="3" t="s">
        <v>101</v>
      </c>
      <c r="G36" s="3" t="str">
        <f aca="false">COUNTIF(G27:G35,"Approved")&amp;"/"&amp;COUNTA(G27:G35)</f>
        <v>0/9</v>
      </c>
    </row>
    <row r="38" customFormat="false" ht="15" hidden="false" customHeight="false" outlineLevel="0" collapsed="false">
      <c r="A38" s="5" t="s">
        <v>102</v>
      </c>
    </row>
    <row r="39" customFormat="false" ht="15" hidden="false" customHeight="true" outlineLevel="0" collapsed="false">
      <c r="A39" s="6" t="s">
        <v>103</v>
      </c>
      <c r="B39" s="6" t="s">
        <v>104</v>
      </c>
      <c r="C39" s="6" t="s">
        <v>105</v>
      </c>
      <c r="D39" s="6" t="s">
        <v>106</v>
      </c>
      <c r="E39" s="6"/>
      <c r="F39" s="6"/>
      <c r="G39" s="6"/>
      <c r="H39" s="6"/>
    </row>
    <row r="40" customFormat="false" ht="30" hidden="false" customHeight="true" outlineLevel="0" collapsed="false">
      <c r="A40" s="7" t="s">
        <v>107</v>
      </c>
      <c r="B40" s="7" t="s">
        <v>108</v>
      </c>
      <c r="C40" s="7" t="s">
        <v>109</v>
      </c>
      <c r="D40" s="4" t="s">
        <v>110</v>
      </c>
      <c r="E40" s="4"/>
      <c r="F40" s="4"/>
      <c r="G40" s="4"/>
      <c r="H40" s="4"/>
    </row>
    <row r="41" customFormat="false" ht="30" hidden="false" customHeight="true" outlineLevel="0" collapsed="false">
      <c r="A41" s="7" t="s">
        <v>111</v>
      </c>
      <c r="B41" s="7" t="s">
        <v>108</v>
      </c>
      <c r="C41" s="7" t="s">
        <v>109</v>
      </c>
      <c r="D41" s="4" t="s">
        <v>112</v>
      </c>
      <c r="E41" s="4"/>
      <c r="F41" s="4"/>
      <c r="G41" s="4"/>
      <c r="H41" s="4"/>
    </row>
    <row r="42" customFormat="false" ht="30" hidden="false" customHeight="true" outlineLevel="0" collapsed="false">
      <c r="A42" s="7" t="s">
        <v>113</v>
      </c>
      <c r="B42" s="7" t="s">
        <v>108</v>
      </c>
      <c r="C42" s="7" t="s">
        <v>109</v>
      </c>
      <c r="D42" s="4" t="s">
        <v>114</v>
      </c>
      <c r="E42" s="4"/>
      <c r="F42" s="4"/>
      <c r="G42" s="4"/>
      <c r="H42" s="4"/>
    </row>
    <row r="43" customFormat="false" ht="30" hidden="false" customHeight="true" outlineLevel="0" collapsed="false">
      <c r="A43" s="7" t="s">
        <v>115</v>
      </c>
      <c r="B43" s="7" t="s">
        <v>108</v>
      </c>
      <c r="C43" s="7" t="s">
        <v>109</v>
      </c>
      <c r="D43" s="4" t="s">
        <v>116</v>
      </c>
      <c r="E43" s="4"/>
      <c r="F43" s="4"/>
      <c r="G43" s="4"/>
      <c r="H43" s="4"/>
    </row>
    <row r="44" customFormat="false" ht="30" hidden="false" customHeight="true" outlineLevel="0" collapsed="false">
      <c r="A44" s="7" t="s">
        <v>117</v>
      </c>
      <c r="B44" s="7" t="s">
        <v>108</v>
      </c>
      <c r="C44" s="7" t="s">
        <v>109</v>
      </c>
      <c r="D44" s="4" t="s">
        <v>118</v>
      </c>
      <c r="E44" s="4"/>
      <c r="F44" s="4"/>
      <c r="G44" s="4"/>
      <c r="H44" s="4"/>
    </row>
    <row r="46" customFormat="false" ht="15" hidden="false" customHeight="false" outlineLevel="0" collapsed="false">
      <c r="A46" s="2" t="s">
        <v>119</v>
      </c>
    </row>
  </sheetData>
  <mergeCells count="33">
    <mergeCell ref="B4:H4"/>
    <mergeCell ref="B5:H5"/>
    <mergeCell ref="B6:H6"/>
    <mergeCell ref="B7:H7"/>
    <mergeCell ref="B8:H8"/>
    <mergeCell ref="B9:H9"/>
    <mergeCell ref="B10:H10"/>
    <mergeCell ref="C26:D26"/>
    <mergeCell ref="E26:F26"/>
    <mergeCell ref="C27:D27"/>
    <mergeCell ref="E27:F27"/>
    <mergeCell ref="C28:D28"/>
    <mergeCell ref="E28:F28"/>
    <mergeCell ref="C29:D29"/>
    <mergeCell ref="E29:F29"/>
    <mergeCell ref="C30:D30"/>
    <mergeCell ref="E30:F30"/>
    <mergeCell ref="C31:D31"/>
    <mergeCell ref="E31:F31"/>
    <mergeCell ref="C32:D32"/>
    <mergeCell ref="E32:F32"/>
    <mergeCell ref="C33:D33"/>
    <mergeCell ref="E33:F33"/>
    <mergeCell ref="C34:D34"/>
    <mergeCell ref="E34:F34"/>
    <mergeCell ref="C35:D35"/>
    <mergeCell ref="E35:F35"/>
    <mergeCell ref="D39:H39"/>
    <mergeCell ref="D40:H40"/>
    <mergeCell ref="D41:H41"/>
    <mergeCell ref="D42:H42"/>
    <mergeCell ref="D43:H43"/>
    <mergeCell ref="D44:H44"/>
  </mergeCells>
  <dataValidations count="1">
    <dataValidation allowBlank="false" errorStyle="stop" operator="between" showDropDown="false" showErrorMessage="false" showInputMessage="false" sqref="G27:G35" type="list">
      <formula1>"Pending,Approved,Rejected"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0"/>
    <col collapsed="false" customWidth="true" hidden="false" outlineLevel="0" max="3" min="3" style="0" width="70"/>
    <col collapsed="false" customWidth="true" hidden="false" outlineLevel="0" max="4" min="4" style="0" width="20"/>
    <col collapsed="false" customWidth="true" hidden="false" outlineLevel="0" max="5" min="5" style="0" width="9"/>
    <col collapsed="false" customWidth="true" hidden="false" outlineLevel="0" max="6" min="6" style="0" width="38"/>
    <col collapsed="false" customWidth="true" hidden="false" outlineLevel="0" max="7" min="7" style="0" width="12"/>
    <col collapsed="false" customWidth="true" hidden="false" outlineLevel="0" max="9" min="8" style="0" width="10"/>
  </cols>
  <sheetData>
    <row r="1" customFormat="false" ht="17.35" hidden="false" customHeight="false" outlineLevel="0" collapsed="false">
      <c r="A1" s="1" t="s">
        <v>120</v>
      </c>
    </row>
    <row r="2" customFormat="false" ht="15" hidden="false" customHeight="false" outlineLevel="0" collapsed="false">
      <c r="A2" s="2" t="s">
        <v>121</v>
      </c>
    </row>
    <row r="4" customFormat="false" ht="23.85" hidden="false" customHeight="false" outlineLevel="0" collapsed="false">
      <c r="A4" s="6" t="s">
        <v>122</v>
      </c>
      <c r="B4" s="6" t="s">
        <v>123</v>
      </c>
      <c r="C4" s="6" t="s">
        <v>124</v>
      </c>
      <c r="D4" s="6" t="s">
        <v>125</v>
      </c>
      <c r="E4" s="6" t="s">
        <v>126</v>
      </c>
      <c r="F4" s="6" t="s">
        <v>127</v>
      </c>
      <c r="G4" s="6" t="s">
        <v>72</v>
      </c>
      <c r="H4" s="6" t="s">
        <v>128</v>
      </c>
      <c r="I4" s="6" t="s">
        <v>129</v>
      </c>
    </row>
    <row r="5" customFormat="false" ht="51.75" hidden="false" customHeight="true" outlineLevel="0" collapsed="false">
      <c r="A5" s="9" t="s">
        <v>130</v>
      </c>
      <c r="B5" s="9" t="s">
        <v>24</v>
      </c>
      <c r="C5" s="9" t="s">
        <v>131</v>
      </c>
      <c r="D5" s="9"/>
      <c r="E5" s="10" t="n">
        <f aca="false">SUMIFS(E6:E24,D6:D24,"&lt;&gt;")</f>
        <v>48</v>
      </c>
      <c r="F5" s="9" t="s">
        <v>132</v>
      </c>
      <c r="G5" s="11" t="n">
        <f aca="false">IFERROR(SUMIFS(E6:E24,G6:G24,"Done",D6:D24,"&lt;&gt;")/E5,0)</f>
        <v>0.354166666666667</v>
      </c>
      <c r="H5" s="12" t="n">
        <f aca="false">MIN(H6:H24)</f>
        <v>46318</v>
      </c>
      <c r="I5" s="12" t="n">
        <f aca="false">MAX(I6:I24)</f>
        <v>46324</v>
      </c>
    </row>
    <row r="6" customFormat="false" ht="15" hidden="false" customHeight="false" outlineLevel="0" collapsed="false">
      <c r="A6" s="13" t="s">
        <v>133</v>
      </c>
      <c r="B6" s="13" t="s">
        <v>24</v>
      </c>
      <c r="C6" s="13" t="s">
        <v>134</v>
      </c>
      <c r="D6" s="13"/>
      <c r="E6" s="14" t="n">
        <f aca="false">SUMIFS(E7:E14,D7:D14,"&lt;&gt;")</f>
        <v>24</v>
      </c>
      <c r="F6" s="13"/>
      <c r="G6" s="15" t="n">
        <f aca="false">IFERROR(SUMIFS(E7:E14,G7:G14,"Done",D7:D14,"&lt;&gt;")/E6,0)</f>
        <v>0</v>
      </c>
      <c r="H6" s="16" t="n">
        <f aca="false">MIN(H7:H14)</f>
        <v>46318</v>
      </c>
      <c r="I6" s="16" t="n">
        <f aca="false">MAX(I7:I14)</f>
        <v>46324</v>
      </c>
    </row>
    <row r="7" customFormat="false" ht="15" hidden="false" customHeight="false" outlineLevel="0" collapsed="false">
      <c r="A7" s="7" t="s">
        <v>135</v>
      </c>
      <c r="B7" s="7" t="s">
        <v>24</v>
      </c>
      <c r="C7" s="7" t="s">
        <v>136</v>
      </c>
      <c r="D7" s="7" t="s">
        <v>27</v>
      </c>
      <c r="E7" s="17" t="n">
        <v>4</v>
      </c>
      <c r="F7" s="7" t="s">
        <v>137</v>
      </c>
      <c r="G7" s="8" t="s">
        <v>138</v>
      </c>
      <c r="H7" s="18" t="n">
        <v>46318</v>
      </c>
      <c r="I7" s="18" t="n">
        <v>46321</v>
      </c>
    </row>
    <row r="8" customFormat="false" ht="15" hidden="false" customHeight="false" outlineLevel="0" collapsed="false">
      <c r="A8" s="7" t="s">
        <v>139</v>
      </c>
      <c r="B8" s="7" t="s">
        <v>24</v>
      </c>
      <c r="C8" s="7" t="s">
        <v>140</v>
      </c>
      <c r="D8" s="7" t="s">
        <v>27</v>
      </c>
      <c r="E8" s="17" t="n">
        <v>2</v>
      </c>
      <c r="F8" s="7" t="s">
        <v>141</v>
      </c>
      <c r="G8" s="8" t="s">
        <v>138</v>
      </c>
      <c r="H8" s="18" t="n">
        <v>46321</v>
      </c>
      <c r="I8" s="18" t="n">
        <v>46322</v>
      </c>
    </row>
    <row r="9" customFormat="false" ht="15" hidden="false" customHeight="false" outlineLevel="0" collapsed="false">
      <c r="A9" s="7" t="s">
        <v>142</v>
      </c>
      <c r="B9" s="7" t="s">
        <v>24</v>
      </c>
      <c r="C9" s="7" t="s">
        <v>143</v>
      </c>
      <c r="D9" s="7" t="s">
        <v>26</v>
      </c>
      <c r="E9" s="17" t="n">
        <v>6</v>
      </c>
      <c r="F9" s="7" t="s">
        <v>144</v>
      </c>
      <c r="G9" s="8" t="s">
        <v>138</v>
      </c>
      <c r="H9" s="18" t="n">
        <v>46319</v>
      </c>
      <c r="I9" s="18" t="n">
        <v>46323</v>
      </c>
    </row>
    <row r="10" customFormat="false" ht="15" hidden="false" customHeight="false" outlineLevel="0" collapsed="false">
      <c r="A10" s="7" t="s">
        <v>145</v>
      </c>
      <c r="B10" s="7" t="s">
        <v>24</v>
      </c>
      <c r="C10" s="7" t="s">
        <v>146</v>
      </c>
      <c r="D10" s="7" t="s">
        <v>27</v>
      </c>
      <c r="E10" s="17" t="n">
        <v>4</v>
      </c>
      <c r="F10" s="7" t="s">
        <v>147</v>
      </c>
      <c r="G10" s="8" t="s">
        <v>138</v>
      </c>
      <c r="H10" s="18" t="n">
        <v>46319</v>
      </c>
      <c r="I10" s="18" t="n">
        <v>46323</v>
      </c>
    </row>
    <row r="11" customFormat="false" ht="15" hidden="false" customHeight="false" outlineLevel="0" collapsed="false">
      <c r="A11" s="7" t="s">
        <v>148</v>
      </c>
      <c r="B11" s="7" t="s">
        <v>24</v>
      </c>
      <c r="C11" s="7" t="s">
        <v>149</v>
      </c>
      <c r="D11" s="7" t="s">
        <v>27</v>
      </c>
      <c r="E11" s="17" t="n">
        <v>0</v>
      </c>
      <c r="F11" s="7" t="s">
        <v>150</v>
      </c>
      <c r="G11" s="8" t="s">
        <v>151</v>
      </c>
      <c r="H11" s="18" t="n">
        <v>46322</v>
      </c>
      <c r="I11" s="18" t="n">
        <v>46322</v>
      </c>
    </row>
    <row r="12" customFormat="false" ht="15" hidden="false" customHeight="false" outlineLevel="0" collapsed="false">
      <c r="A12" s="7" t="s">
        <v>152</v>
      </c>
      <c r="B12" s="7" t="s">
        <v>24</v>
      </c>
      <c r="C12" s="7" t="s">
        <v>153</v>
      </c>
      <c r="D12" s="7" t="s">
        <v>27</v>
      </c>
      <c r="E12" s="17" t="n">
        <v>3</v>
      </c>
      <c r="F12" s="7" t="s">
        <v>154</v>
      </c>
      <c r="G12" s="8" t="s">
        <v>138</v>
      </c>
      <c r="H12" s="18" t="n">
        <v>46322</v>
      </c>
      <c r="I12" s="18" t="n">
        <v>46324</v>
      </c>
    </row>
    <row r="13" customFormat="false" ht="15" hidden="false" customHeight="false" outlineLevel="0" collapsed="false">
      <c r="A13" s="7" t="s">
        <v>155</v>
      </c>
      <c r="B13" s="7" t="s">
        <v>24</v>
      </c>
      <c r="C13" s="7" t="s">
        <v>156</v>
      </c>
      <c r="D13" s="7" t="s">
        <v>26</v>
      </c>
      <c r="E13" s="17" t="n">
        <v>3</v>
      </c>
      <c r="F13" s="7" t="s">
        <v>157</v>
      </c>
      <c r="G13" s="8" t="s">
        <v>138</v>
      </c>
      <c r="H13" s="18" t="n">
        <v>46323</v>
      </c>
      <c r="I13" s="18" t="n">
        <v>46324</v>
      </c>
    </row>
    <row r="14" customFormat="false" ht="15" hidden="false" customHeight="false" outlineLevel="0" collapsed="false">
      <c r="A14" s="7" t="s">
        <v>158</v>
      </c>
      <c r="B14" s="7" t="s">
        <v>24</v>
      </c>
      <c r="C14" s="7" t="s">
        <v>159</v>
      </c>
      <c r="D14" s="7" t="s">
        <v>26</v>
      </c>
      <c r="E14" s="17" t="n">
        <v>2</v>
      </c>
      <c r="F14" s="7" t="s">
        <v>160</v>
      </c>
      <c r="G14" s="8" t="s">
        <v>138</v>
      </c>
      <c r="H14" s="18" t="n">
        <v>46324</v>
      </c>
      <c r="I14" s="18" t="n">
        <v>46324</v>
      </c>
    </row>
    <row r="15" customFormat="false" ht="15" hidden="false" customHeight="false" outlineLevel="0" collapsed="false">
      <c r="A15" s="13" t="s">
        <v>161</v>
      </c>
      <c r="B15" s="13" t="s">
        <v>24</v>
      </c>
      <c r="C15" s="13" t="s">
        <v>162</v>
      </c>
      <c r="D15" s="13"/>
      <c r="E15" s="14" t="n">
        <f aca="false">SUMIFS(E16:E21,D16:D21,"&lt;&gt;")</f>
        <v>21</v>
      </c>
      <c r="F15" s="13"/>
      <c r="G15" s="15" t="n">
        <f aca="false">IFERROR(SUMIFS(E16:E21,G16:G21,"Done",D16:D21,"&lt;&gt;")/E15,0)</f>
        <v>0.80952380952381</v>
      </c>
      <c r="H15" s="16" t="n">
        <f aca="false">MIN(H16:H21)</f>
        <v>46318</v>
      </c>
      <c r="I15" s="16" t="n">
        <f aca="false">MAX(I16:I21)</f>
        <v>46323</v>
      </c>
    </row>
    <row r="16" customFormat="false" ht="15" hidden="false" customHeight="false" outlineLevel="0" collapsed="false">
      <c r="A16" s="7" t="s">
        <v>163</v>
      </c>
      <c r="B16" s="7" t="s">
        <v>24</v>
      </c>
      <c r="C16" s="7" t="s">
        <v>164</v>
      </c>
      <c r="D16" s="7" t="s">
        <v>26</v>
      </c>
      <c r="E16" s="17" t="n">
        <v>4</v>
      </c>
      <c r="F16" s="7" t="s">
        <v>165</v>
      </c>
      <c r="G16" s="8" t="s">
        <v>138</v>
      </c>
      <c r="H16" s="18" t="n">
        <v>46318</v>
      </c>
      <c r="I16" s="18" t="n">
        <v>46319</v>
      </c>
    </row>
    <row r="17" customFormat="false" ht="15" hidden="false" customHeight="false" outlineLevel="0" collapsed="false">
      <c r="A17" s="7" t="s">
        <v>166</v>
      </c>
      <c r="B17" s="7" t="s">
        <v>24</v>
      </c>
      <c r="C17" s="7" t="s">
        <v>167</v>
      </c>
      <c r="D17" s="7" t="s">
        <v>26</v>
      </c>
      <c r="E17" s="17" t="n">
        <v>4</v>
      </c>
      <c r="F17" s="7" t="s">
        <v>168</v>
      </c>
      <c r="G17" s="8" t="s">
        <v>151</v>
      </c>
      <c r="H17" s="18" t="n">
        <v>46319</v>
      </c>
      <c r="I17" s="18" t="n">
        <v>46321</v>
      </c>
    </row>
    <row r="18" customFormat="false" ht="15" hidden="false" customHeight="false" outlineLevel="0" collapsed="false">
      <c r="A18" s="7" t="s">
        <v>169</v>
      </c>
      <c r="B18" s="7" t="s">
        <v>24</v>
      </c>
      <c r="C18" s="7" t="s">
        <v>170</v>
      </c>
      <c r="D18" s="7" t="s">
        <v>26</v>
      </c>
      <c r="E18" s="17" t="n">
        <v>3</v>
      </c>
      <c r="F18" s="7" t="s">
        <v>168</v>
      </c>
      <c r="G18" s="8" t="s">
        <v>151</v>
      </c>
      <c r="H18" s="18" t="n">
        <v>46321</v>
      </c>
      <c r="I18" s="18" t="n">
        <v>46322</v>
      </c>
    </row>
    <row r="19" customFormat="false" ht="15" hidden="false" customHeight="false" outlineLevel="0" collapsed="false">
      <c r="A19" s="7" t="s">
        <v>171</v>
      </c>
      <c r="B19" s="7" t="s">
        <v>24</v>
      </c>
      <c r="C19" s="7" t="s">
        <v>172</v>
      </c>
      <c r="D19" s="7" t="s">
        <v>27</v>
      </c>
      <c r="E19" s="17" t="n">
        <v>5</v>
      </c>
      <c r="F19" s="7" t="s">
        <v>168</v>
      </c>
      <c r="G19" s="8" t="s">
        <v>151</v>
      </c>
      <c r="H19" s="18" t="n">
        <v>46321</v>
      </c>
      <c r="I19" s="18" t="n">
        <v>46323</v>
      </c>
    </row>
    <row r="20" customFormat="false" ht="15" hidden="false" customHeight="false" outlineLevel="0" collapsed="false">
      <c r="A20" s="7" t="s">
        <v>173</v>
      </c>
      <c r="B20" s="7" t="s">
        <v>24</v>
      </c>
      <c r="C20" s="7" t="s">
        <v>174</v>
      </c>
      <c r="D20" s="7" t="s">
        <v>26</v>
      </c>
      <c r="E20" s="17" t="n">
        <v>2</v>
      </c>
      <c r="F20" s="7" t="s">
        <v>168</v>
      </c>
      <c r="G20" s="8" t="s">
        <v>151</v>
      </c>
      <c r="H20" s="18" t="n">
        <v>46322</v>
      </c>
      <c r="I20" s="18" t="n">
        <v>46323</v>
      </c>
    </row>
    <row r="21" customFormat="false" ht="15" hidden="false" customHeight="false" outlineLevel="0" collapsed="false">
      <c r="A21" s="7" t="s">
        <v>175</v>
      </c>
      <c r="B21" s="7" t="s">
        <v>24</v>
      </c>
      <c r="C21" s="7" t="s">
        <v>176</v>
      </c>
      <c r="D21" s="7" t="s">
        <v>27</v>
      </c>
      <c r="E21" s="17" t="n">
        <v>3</v>
      </c>
      <c r="F21" s="7" t="s">
        <v>177</v>
      </c>
      <c r="G21" s="8" t="s">
        <v>151</v>
      </c>
      <c r="H21" s="18" t="n">
        <v>46322</v>
      </c>
      <c r="I21" s="18" t="n">
        <v>46323</v>
      </c>
    </row>
    <row r="22" customFormat="false" ht="15" hidden="false" customHeight="false" outlineLevel="0" collapsed="false">
      <c r="A22" s="13" t="s">
        <v>178</v>
      </c>
      <c r="B22" s="13" t="s">
        <v>24</v>
      </c>
      <c r="C22" s="13" t="s">
        <v>179</v>
      </c>
      <c r="D22" s="13"/>
      <c r="E22" s="14" t="n">
        <f aca="false">SUMIFS(E23:E23,D23:D23,"&lt;&gt;")</f>
        <v>3</v>
      </c>
      <c r="F22" s="13"/>
      <c r="G22" s="15" t="n">
        <f aca="false">IFERROR(SUMIFS(E23:E23,G23:G23,"Done",D23:D23,"&lt;&gt;")/E22,0)</f>
        <v>0</v>
      </c>
      <c r="H22" s="16" t="n">
        <f aca="false">MIN(H23:H23)</f>
        <v>46323</v>
      </c>
      <c r="I22" s="16" t="n">
        <f aca="false">MAX(I23:I23)</f>
        <v>46324</v>
      </c>
    </row>
    <row r="23" customFormat="false" ht="15" hidden="false" customHeight="false" outlineLevel="0" collapsed="false">
      <c r="A23" s="7" t="s">
        <v>180</v>
      </c>
      <c r="B23" s="7" t="s">
        <v>24</v>
      </c>
      <c r="C23" s="7" t="s">
        <v>181</v>
      </c>
      <c r="D23" s="7" t="s">
        <v>27</v>
      </c>
      <c r="E23" s="17" t="n">
        <v>3</v>
      </c>
      <c r="F23" s="7" t="s">
        <v>182</v>
      </c>
      <c r="G23" s="8" t="s">
        <v>138</v>
      </c>
      <c r="H23" s="18" t="n">
        <v>46323</v>
      </c>
      <c r="I23" s="18" t="n">
        <v>46324</v>
      </c>
    </row>
    <row r="24" customFormat="false" ht="23.85" hidden="false" customHeight="false" outlineLevel="0" collapsed="false">
      <c r="A24" s="19" t="s">
        <v>183</v>
      </c>
      <c r="B24" s="19" t="s">
        <v>24</v>
      </c>
      <c r="C24" s="19" t="s">
        <v>184</v>
      </c>
      <c r="D24" s="19" t="s">
        <v>26</v>
      </c>
      <c r="E24" s="20" t="n">
        <v>0</v>
      </c>
      <c r="F24" s="19" t="s">
        <v>185</v>
      </c>
      <c r="G24" s="19"/>
      <c r="H24" s="21" t="n">
        <v>46324</v>
      </c>
      <c r="I24" s="21" t="n">
        <v>46324</v>
      </c>
    </row>
    <row r="25" customFormat="false" ht="51.75" hidden="false" customHeight="true" outlineLevel="0" collapsed="false">
      <c r="A25" s="9" t="s">
        <v>186</v>
      </c>
      <c r="B25" s="9" t="s">
        <v>32</v>
      </c>
      <c r="C25" s="9" t="s">
        <v>187</v>
      </c>
      <c r="D25" s="9"/>
      <c r="E25" s="10" t="n">
        <f aca="false">SUMIFS(E26:E53,D26:D53,"&lt;&gt;")</f>
        <v>39.75</v>
      </c>
      <c r="F25" s="9" t="s">
        <v>188</v>
      </c>
      <c r="G25" s="11" t="n">
        <f aca="false">IFERROR(SUMIFS(E26:E53,G26:G53,"Done",D26:D53,"&lt;&gt;")/E25,0)</f>
        <v>0</v>
      </c>
      <c r="H25" s="12" t="n">
        <f aca="false">MIN(H26:H53)</f>
        <v>46325</v>
      </c>
      <c r="I25" s="12" t="n">
        <f aca="false">MAX(I26:I53)</f>
        <v>46331</v>
      </c>
    </row>
    <row r="26" customFormat="false" ht="15" hidden="false" customHeight="false" outlineLevel="0" collapsed="false">
      <c r="A26" s="13" t="s">
        <v>189</v>
      </c>
      <c r="B26" s="13" t="s">
        <v>32</v>
      </c>
      <c r="C26" s="13" t="s">
        <v>190</v>
      </c>
      <c r="D26" s="13"/>
      <c r="E26" s="14" t="n">
        <f aca="false">SUMIFS(E27:E32,D27:D32,"&lt;&gt;")</f>
        <v>10.25</v>
      </c>
      <c r="F26" s="13"/>
      <c r="G26" s="15" t="n">
        <f aca="false">IFERROR(SUMIFS(E27:E32,G27:G32,"Done",D27:D32,"&lt;&gt;")/E26,0)</f>
        <v>0</v>
      </c>
      <c r="H26" s="16" t="n">
        <f aca="false">MIN(H27:H32)</f>
        <v>46325</v>
      </c>
      <c r="I26" s="16" t="n">
        <f aca="false">MAX(I27:I32)</f>
        <v>46331</v>
      </c>
    </row>
    <row r="27" customFormat="false" ht="15" hidden="false" customHeight="false" outlineLevel="0" collapsed="false">
      <c r="A27" s="7" t="s">
        <v>191</v>
      </c>
      <c r="B27" s="7" t="s">
        <v>32</v>
      </c>
      <c r="C27" s="7" t="s">
        <v>192</v>
      </c>
      <c r="D27" s="7" t="s">
        <v>193</v>
      </c>
      <c r="E27" s="17" t="n">
        <v>1.5</v>
      </c>
      <c r="F27" s="7" t="s">
        <v>194</v>
      </c>
      <c r="G27" s="8" t="s">
        <v>195</v>
      </c>
      <c r="H27" s="18" t="n">
        <v>46325</v>
      </c>
      <c r="I27" s="18" t="n">
        <v>46325</v>
      </c>
    </row>
    <row r="28" customFormat="false" ht="15" hidden="false" customHeight="false" outlineLevel="0" collapsed="false">
      <c r="A28" s="7" t="s">
        <v>196</v>
      </c>
      <c r="B28" s="7" t="s">
        <v>32</v>
      </c>
      <c r="C28" s="7" t="s">
        <v>197</v>
      </c>
      <c r="D28" s="7" t="s">
        <v>193</v>
      </c>
      <c r="E28" s="17" t="n">
        <v>1</v>
      </c>
      <c r="F28" s="7" t="s">
        <v>198</v>
      </c>
      <c r="G28" s="8" t="s">
        <v>195</v>
      </c>
      <c r="H28" s="18" t="n">
        <v>46325</v>
      </c>
      <c r="I28" s="18" t="n">
        <v>46331</v>
      </c>
    </row>
    <row r="29" customFormat="false" ht="23.85" hidden="false" customHeight="false" outlineLevel="0" collapsed="false">
      <c r="A29" s="7" t="s">
        <v>199</v>
      </c>
      <c r="B29" s="7" t="s">
        <v>32</v>
      </c>
      <c r="C29" s="7" t="s">
        <v>200</v>
      </c>
      <c r="D29" s="7" t="s">
        <v>27</v>
      </c>
      <c r="E29" s="17" t="n">
        <v>2</v>
      </c>
      <c r="F29" s="7" t="s">
        <v>201</v>
      </c>
      <c r="G29" s="8" t="s">
        <v>195</v>
      </c>
      <c r="H29" s="18" t="n">
        <v>46325</v>
      </c>
      <c r="I29" s="18" t="n">
        <v>46326</v>
      </c>
    </row>
    <row r="30" customFormat="false" ht="15" hidden="false" customHeight="false" outlineLevel="0" collapsed="false">
      <c r="A30" s="7" t="s">
        <v>202</v>
      </c>
      <c r="B30" s="7" t="s">
        <v>32</v>
      </c>
      <c r="C30" s="7" t="s">
        <v>203</v>
      </c>
      <c r="D30" s="7" t="s">
        <v>27</v>
      </c>
      <c r="E30" s="17" t="n">
        <v>2</v>
      </c>
      <c r="F30" s="7" t="s">
        <v>204</v>
      </c>
      <c r="G30" s="8" t="s">
        <v>195</v>
      </c>
      <c r="H30" s="18" t="n">
        <v>46329</v>
      </c>
      <c r="I30" s="18" t="n">
        <v>46331</v>
      </c>
    </row>
    <row r="31" customFormat="false" ht="15" hidden="false" customHeight="false" outlineLevel="0" collapsed="false">
      <c r="A31" s="7" t="s">
        <v>205</v>
      </c>
      <c r="B31" s="7" t="s">
        <v>32</v>
      </c>
      <c r="C31" s="7" t="s">
        <v>206</v>
      </c>
      <c r="D31" s="7" t="s">
        <v>27</v>
      </c>
      <c r="E31" s="17" t="n">
        <v>2</v>
      </c>
      <c r="F31" s="7" t="s">
        <v>207</v>
      </c>
      <c r="G31" s="8" t="s">
        <v>195</v>
      </c>
      <c r="H31" s="18" t="n">
        <v>46328</v>
      </c>
      <c r="I31" s="18" t="n">
        <v>46331</v>
      </c>
    </row>
    <row r="32" customFormat="false" ht="15" hidden="false" customHeight="false" outlineLevel="0" collapsed="false">
      <c r="A32" s="7" t="s">
        <v>208</v>
      </c>
      <c r="B32" s="7" t="s">
        <v>32</v>
      </c>
      <c r="C32" s="7" t="s">
        <v>209</v>
      </c>
      <c r="D32" s="7" t="s">
        <v>27</v>
      </c>
      <c r="E32" s="17" t="n">
        <v>1.75</v>
      </c>
      <c r="F32" s="7" t="s">
        <v>210</v>
      </c>
      <c r="G32" s="8" t="s">
        <v>195</v>
      </c>
      <c r="H32" s="18" t="n">
        <v>46330</v>
      </c>
      <c r="I32" s="18" t="n">
        <v>46331</v>
      </c>
    </row>
    <row r="33" customFormat="false" ht="15" hidden="false" customHeight="false" outlineLevel="0" collapsed="false">
      <c r="A33" s="13" t="s">
        <v>211</v>
      </c>
      <c r="B33" s="13" t="s">
        <v>32</v>
      </c>
      <c r="C33" s="13" t="s">
        <v>212</v>
      </c>
      <c r="D33" s="13"/>
      <c r="E33" s="14" t="n">
        <f aca="false">SUMIFS(E34:E42,D34:D42,"&lt;&gt;")</f>
        <v>17</v>
      </c>
      <c r="F33" s="13"/>
      <c r="G33" s="15" t="n">
        <f aca="false">IFERROR(SUMIFS(E34:E42,G34:G42,"Done",D34:D42,"&lt;&gt;")/E33,0)</f>
        <v>0</v>
      </c>
      <c r="H33" s="16" t="n">
        <f aca="false">MIN(H34:H42)</f>
        <v>46326</v>
      </c>
      <c r="I33" s="16" t="n">
        <f aca="false">MAX(I34:I42)</f>
        <v>46330</v>
      </c>
    </row>
    <row r="34" customFormat="false" ht="15" hidden="false" customHeight="false" outlineLevel="0" collapsed="false">
      <c r="A34" s="7" t="s">
        <v>213</v>
      </c>
      <c r="B34" s="7" t="s">
        <v>32</v>
      </c>
      <c r="C34" s="7" t="s">
        <v>214</v>
      </c>
      <c r="D34" s="7" t="s">
        <v>26</v>
      </c>
      <c r="E34" s="17" t="n">
        <v>2</v>
      </c>
      <c r="F34" s="7" t="s">
        <v>215</v>
      </c>
      <c r="G34" s="8" t="s">
        <v>195</v>
      </c>
      <c r="H34" s="18" t="n">
        <v>46326</v>
      </c>
      <c r="I34" s="18" t="n">
        <v>46326</v>
      </c>
    </row>
    <row r="35" customFormat="false" ht="15" hidden="false" customHeight="false" outlineLevel="0" collapsed="false">
      <c r="A35" s="7" t="s">
        <v>216</v>
      </c>
      <c r="B35" s="7" t="s">
        <v>32</v>
      </c>
      <c r="C35" s="7" t="s">
        <v>217</v>
      </c>
      <c r="D35" s="7" t="s">
        <v>27</v>
      </c>
      <c r="E35" s="17" t="n">
        <v>2</v>
      </c>
      <c r="F35" s="7" t="s">
        <v>218</v>
      </c>
      <c r="G35" s="8" t="s">
        <v>195</v>
      </c>
      <c r="H35" s="18" t="n">
        <v>46326</v>
      </c>
      <c r="I35" s="18" t="n">
        <v>46327</v>
      </c>
    </row>
    <row r="36" customFormat="false" ht="15" hidden="false" customHeight="false" outlineLevel="0" collapsed="false">
      <c r="A36" s="7" t="s">
        <v>219</v>
      </c>
      <c r="B36" s="7" t="s">
        <v>32</v>
      </c>
      <c r="C36" s="7" t="s">
        <v>220</v>
      </c>
      <c r="D36" s="7" t="s">
        <v>27</v>
      </c>
      <c r="E36" s="17" t="n">
        <v>2</v>
      </c>
      <c r="F36" s="7" t="s">
        <v>218</v>
      </c>
      <c r="G36" s="8" t="s">
        <v>195</v>
      </c>
      <c r="H36" s="18" t="n">
        <v>46327</v>
      </c>
      <c r="I36" s="18" t="n">
        <v>46328</v>
      </c>
    </row>
    <row r="37" customFormat="false" ht="15" hidden="false" customHeight="false" outlineLevel="0" collapsed="false">
      <c r="A37" s="7" t="s">
        <v>221</v>
      </c>
      <c r="B37" s="7" t="s">
        <v>32</v>
      </c>
      <c r="C37" s="7" t="s">
        <v>222</v>
      </c>
      <c r="D37" s="7" t="s">
        <v>26</v>
      </c>
      <c r="E37" s="17" t="n">
        <v>3</v>
      </c>
      <c r="F37" s="7" t="s">
        <v>218</v>
      </c>
      <c r="G37" s="8" t="s">
        <v>195</v>
      </c>
      <c r="H37" s="18" t="n">
        <v>46326</v>
      </c>
      <c r="I37" s="18" t="n">
        <v>46327</v>
      </c>
    </row>
    <row r="38" customFormat="false" ht="15" hidden="false" customHeight="false" outlineLevel="0" collapsed="false">
      <c r="A38" s="7" t="s">
        <v>223</v>
      </c>
      <c r="B38" s="7" t="s">
        <v>32</v>
      </c>
      <c r="C38" s="7" t="s">
        <v>224</v>
      </c>
      <c r="D38" s="7" t="s">
        <v>26</v>
      </c>
      <c r="E38" s="17" t="n">
        <v>1.5</v>
      </c>
      <c r="F38" s="7" t="s">
        <v>218</v>
      </c>
      <c r="G38" s="8" t="s">
        <v>195</v>
      </c>
      <c r="H38" s="18" t="n">
        <v>46327</v>
      </c>
      <c r="I38" s="18" t="n">
        <v>46328</v>
      </c>
    </row>
    <row r="39" customFormat="false" ht="15" hidden="false" customHeight="false" outlineLevel="0" collapsed="false">
      <c r="A39" s="7" t="s">
        <v>225</v>
      </c>
      <c r="B39" s="7" t="s">
        <v>32</v>
      </c>
      <c r="C39" s="7" t="s">
        <v>226</v>
      </c>
      <c r="D39" s="7" t="s">
        <v>26</v>
      </c>
      <c r="E39" s="17" t="n">
        <v>1</v>
      </c>
      <c r="F39" s="7" t="s">
        <v>218</v>
      </c>
      <c r="G39" s="8" t="s">
        <v>195</v>
      </c>
      <c r="H39" s="18" t="n">
        <v>46328</v>
      </c>
      <c r="I39" s="18" t="n">
        <v>46328</v>
      </c>
    </row>
    <row r="40" customFormat="false" ht="15" hidden="false" customHeight="false" outlineLevel="0" collapsed="false">
      <c r="A40" s="7" t="s">
        <v>227</v>
      </c>
      <c r="B40" s="7" t="s">
        <v>32</v>
      </c>
      <c r="C40" s="7" t="s">
        <v>228</v>
      </c>
      <c r="D40" s="7" t="s">
        <v>26</v>
      </c>
      <c r="E40" s="17" t="n">
        <v>1.5</v>
      </c>
      <c r="F40" s="7" t="s">
        <v>229</v>
      </c>
      <c r="G40" s="8" t="s">
        <v>195</v>
      </c>
      <c r="H40" s="18" t="n">
        <v>46328</v>
      </c>
      <c r="I40" s="18" t="n">
        <v>46329</v>
      </c>
    </row>
    <row r="41" customFormat="false" ht="15" hidden="false" customHeight="false" outlineLevel="0" collapsed="false">
      <c r="A41" s="7" t="s">
        <v>230</v>
      </c>
      <c r="B41" s="7" t="s">
        <v>32</v>
      </c>
      <c r="C41" s="7" t="s">
        <v>231</v>
      </c>
      <c r="D41" s="7" t="s">
        <v>27</v>
      </c>
      <c r="E41" s="17" t="n">
        <v>3</v>
      </c>
      <c r="F41" s="7" t="s">
        <v>218</v>
      </c>
      <c r="G41" s="8" t="s">
        <v>195</v>
      </c>
      <c r="H41" s="18" t="n">
        <v>46328</v>
      </c>
      <c r="I41" s="18" t="n">
        <v>46329</v>
      </c>
    </row>
    <row r="42" customFormat="false" ht="15" hidden="false" customHeight="false" outlineLevel="0" collapsed="false">
      <c r="A42" s="7" t="s">
        <v>232</v>
      </c>
      <c r="B42" s="7" t="s">
        <v>32</v>
      </c>
      <c r="C42" s="7" t="s">
        <v>233</v>
      </c>
      <c r="D42" s="7" t="s">
        <v>27</v>
      </c>
      <c r="E42" s="17" t="n">
        <v>1</v>
      </c>
      <c r="F42" s="7" t="s">
        <v>234</v>
      </c>
      <c r="G42" s="8" t="s">
        <v>195</v>
      </c>
      <c r="H42" s="18" t="n">
        <v>46330</v>
      </c>
      <c r="I42" s="18" t="n">
        <v>46330</v>
      </c>
    </row>
    <row r="43" customFormat="false" ht="15" hidden="false" customHeight="false" outlineLevel="0" collapsed="false">
      <c r="A43" s="13" t="s">
        <v>235</v>
      </c>
      <c r="B43" s="13" t="s">
        <v>32</v>
      </c>
      <c r="C43" s="13" t="s">
        <v>236</v>
      </c>
      <c r="D43" s="13"/>
      <c r="E43" s="14" t="n">
        <f aca="false">SUMIFS(E44:E49,D44:D49,"&lt;&gt;")</f>
        <v>8.5</v>
      </c>
      <c r="F43" s="13"/>
      <c r="G43" s="15" t="n">
        <f aca="false">IFERROR(SUMIFS(E44:E49,G44:G49,"Done",D44:D49,"&lt;&gt;")/E43,0)</f>
        <v>0</v>
      </c>
      <c r="H43" s="16" t="n">
        <f aca="false">MIN(H44:H49)</f>
        <v>46326</v>
      </c>
      <c r="I43" s="16" t="n">
        <f aca="false">MAX(I44:I49)</f>
        <v>46331</v>
      </c>
    </row>
    <row r="44" customFormat="false" ht="15" hidden="false" customHeight="false" outlineLevel="0" collapsed="false">
      <c r="A44" s="7" t="s">
        <v>237</v>
      </c>
      <c r="B44" s="7" t="s">
        <v>32</v>
      </c>
      <c r="C44" s="7" t="s">
        <v>238</v>
      </c>
      <c r="D44" s="7" t="s">
        <v>26</v>
      </c>
      <c r="E44" s="17" t="n">
        <v>1</v>
      </c>
      <c r="F44" s="7" t="s">
        <v>218</v>
      </c>
      <c r="G44" s="8" t="s">
        <v>195</v>
      </c>
      <c r="H44" s="18" t="n">
        <v>46326</v>
      </c>
      <c r="I44" s="18" t="n">
        <v>46326</v>
      </c>
    </row>
    <row r="45" customFormat="false" ht="15" hidden="false" customHeight="false" outlineLevel="0" collapsed="false">
      <c r="A45" s="7" t="s">
        <v>239</v>
      </c>
      <c r="B45" s="7" t="s">
        <v>32</v>
      </c>
      <c r="C45" s="7" t="s">
        <v>240</v>
      </c>
      <c r="D45" s="7" t="s">
        <v>26</v>
      </c>
      <c r="E45" s="17" t="n">
        <v>2</v>
      </c>
      <c r="F45" s="7" t="s">
        <v>218</v>
      </c>
      <c r="G45" s="8" t="s">
        <v>195</v>
      </c>
      <c r="H45" s="18" t="n">
        <v>46327</v>
      </c>
      <c r="I45" s="18" t="n">
        <v>46328</v>
      </c>
    </row>
    <row r="46" customFormat="false" ht="15" hidden="false" customHeight="false" outlineLevel="0" collapsed="false">
      <c r="A46" s="7" t="s">
        <v>241</v>
      </c>
      <c r="B46" s="7" t="s">
        <v>32</v>
      </c>
      <c r="C46" s="7" t="s">
        <v>242</v>
      </c>
      <c r="D46" s="7" t="s">
        <v>26</v>
      </c>
      <c r="E46" s="17" t="n">
        <v>1.5</v>
      </c>
      <c r="F46" s="7" t="s">
        <v>218</v>
      </c>
      <c r="G46" s="8" t="s">
        <v>195</v>
      </c>
      <c r="H46" s="18" t="n">
        <v>46328</v>
      </c>
      <c r="I46" s="18" t="n">
        <v>46329</v>
      </c>
    </row>
    <row r="47" customFormat="false" ht="15" hidden="false" customHeight="false" outlineLevel="0" collapsed="false">
      <c r="A47" s="7" t="s">
        <v>243</v>
      </c>
      <c r="B47" s="7" t="s">
        <v>32</v>
      </c>
      <c r="C47" s="7" t="s">
        <v>244</v>
      </c>
      <c r="D47" s="7" t="s">
        <v>26</v>
      </c>
      <c r="E47" s="17" t="n">
        <v>2</v>
      </c>
      <c r="F47" s="7" t="s">
        <v>218</v>
      </c>
      <c r="G47" s="8" t="s">
        <v>195</v>
      </c>
      <c r="H47" s="18" t="n">
        <v>46329</v>
      </c>
      <c r="I47" s="18" t="n">
        <v>46330</v>
      </c>
    </row>
    <row r="48" customFormat="false" ht="15" hidden="false" customHeight="false" outlineLevel="0" collapsed="false">
      <c r="A48" s="7" t="s">
        <v>245</v>
      </c>
      <c r="B48" s="7" t="s">
        <v>32</v>
      </c>
      <c r="C48" s="7" t="s">
        <v>246</v>
      </c>
      <c r="D48" s="7" t="s">
        <v>26</v>
      </c>
      <c r="E48" s="17" t="n">
        <v>1</v>
      </c>
      <c r="F48" s="7" t="s">
        <v>247</v>
      </c>
      <c r="G48" s="8" t="s">
        <v>195</v>
      </c>
      <c r="H48" s="18" t="n">
        <v>46330</v>
      </c>
      <c r="I48" s="18" t="n">
        <v>46331</v>
      </c>
    </row>
    <row r="49" customFormat="false" ht="15" hidden="false" customHeight="false" outlineLevel="0" collapsed="false">
      <c r="A49" s="7" t="s">
        <v>248</v>
      </c>
      <c r="B49" s="7" t="s">
        <v>32</v>
      </c>
      <c r="C49" s="7" t="s">
        <v>249</v>
      </c>
      <c r="D49" s="7" t="s">
        <v>27</v>
      </c>
      <c r="E49" s="17" t="n">
        <v>1</v>
      </c>
      <c r="F49" s="7" t="s">
        <v>250</v>
      </c>
      <c r="G49" s="8" t="s">
        <v>195</v>
      </c>
      <c r="H49" s="18" t="n">
        <v>46330</v>
      </c>
      <c r="I49" s="18" t="n">
        <v>46331</v>
      </c>
    </row>
    <row r="50" customFormat="false" ht="15" hidden="false" customHeight="false" outlineLevel="0" collapsed="false">
      <c r="A50" s="13" t="s">
        <v>251</v>
      </c>
      <c r="B50" s="13" t="s">
        <v>32</v>
      </c>
      <c r="C50" s="13" t="s">
        <v>252</v>
      </c>
      <c r="D50" s="13"/>
      <c r="E50" s="14" t="n">
        <f aca="false">SUMIFS(E51:E52,D51:D52,"&lt;&gt;")</f>
        <v>4</v>
      </c>
      <c r="F50" s="13"/>
      <c r="G50" s="15" t="n">
        <f aca="false">IFERROR(SUMIFS(E51:E52,G51:G52,"Done",D51:D52,"&lt;&gt;")/E50,0)</f>
        <v>0</v>
      </c>
      <c r="H50" s="16" t="n">
        <f aca="false">MIN(H51:H52)</f>
        <v>46328</v>
      </c>
      <c r="I50" s="16" t="n">
        <f aca="false">MAX(I51:I52)</f>
        <v>46331</v>
      </c>
    </row>
    <row r="51" customFormat="false" ht="15" hidden="false" customHeight="false" outlineLevel="0" collapsed="false">
      <c r="A51" s="7" t="s">
        <v>253</v>
      </c>
      <c r="B51" s="7" t="s">
        <v>32</v>
      </c>
      <c r="C51" s="7" t="s">
        <v>254</v>
      </c>
      <c r="D51" s="7" t="s">
        <v>27</v>
      </c>
      <c r="E51" s="17" t="n">
        <v>2</v>
      </c>
      <c r="F51" s="7" t="s">
        <v>255</v>
      </c>
      <c r="G51" s="8" t="s">
        <v>195</v>
      </c>
      <c r="H51" s="18" t="n">
        <v>46328</v>
      </c>
      <c r="I51" s="18" t="n">
        <v>46330</v>
      </c>
    </row>
    <row r="52" customFormat="false" ht="15" hidden="false" customHeight="false" outlineLevel="0" collapsed="false">
      <c r="A52" s="7" t="s">
        <v>256</v>
      </c>
      <c r="B52" s="7" t="s">
        <v>32</v>
      </c>
      <c r="C52" s="7" t="s">
        <v>257</v>
      </c>
      <c r="D52" s="7" t="s">
        <v>26</v>
      </c>
      <c r="E52" s="17" t="n">
        <v>2</v>
      </c>
      <c r="F52" s="7" t="s">
        <v>247</v>
      </c>
      <c r="G52" s="8" t="s">
        <v>195</v>
      </c>
      <c r="H52" s="18" t="n">
        <v>46330</v>
      </c>
      <c r="I52" s="18" t="n">
        <v>46331</v>
      </c>
    </row>
    <row r="53" customFormat="false" ht="23.85" hidden="false" customHeight="false" outlineLevel="0" collapsed="false">
      <c r="A53" s="19" t="s">
        <v>258</v>
      </c>
      <c r="B53" s="19" t="s">
        <v>32</v>
      </c>
      <c r="C53" s="19" t="s">
        <v>259</v>
      </c>
      <c r="D53" s="19" t="s">
        <v>27</v>
      </c>
      <c r="E53" s="20" t="n">
        <v>0</v>
      </c>
      <c r="F53" s="19" t="s">
        <v>185</v>
      </c>
      <c r="G53" s="19"/>
      <c r="H53" s="21" t="n">
        <v>46331</v>
      </c>
      <c r="I53" s="21" t="n">
        <v>46331</v>
      </c>
    </row>
    <row r="54" customFormat="false" ht="51.75" hidden="false" customHeight="true" outlineLevel="0" collapsed="false">
      <c r="A54" s="9" t="s">
        <v>260</v>
      </c>
      <c r="B54" s="9" t="s">
        <v>38</v>
      </c>
      <c r="C54" s="9" t="s">
        <v>261</v>
      </c>
      <c r="D54" s="9"/>
      <c r="E54" s="10" t="n">
        <f aca="false">SUMIFS(E55:E73,D55:D73,"&lt;&gt;")</f>
        <v>35.5</v>
      </c>
      <c r="F54" s="9" t="s">
        <v>262</v>
      </c>
      <c r="G54" s="11" t="n">
        <f aca="false">IFERROR(SUMIFS(E55:E73,G55:G73,"Done",D55:D73,"&lt;&gt;")/E54,0)</f>
        <v>0</v>
      </c>
      <c r="H54" s="12" t="n">
        <f aca="false">MIN(H55:H73)</f>
        <v>46332</v>
      </c>
      <c r="I54" s="12" t="n">
        <f aca="false">MAX(I55:I73)</f>
        <v>46338</v>
      </c>
    </row>
    <row r="55" customFormat="false" ht="15" hidden="false" customHeight="false" outlineLevel="0" collapsed="false">
      <c r="A55" s="13" t="s">
        <v>263</v>
      </c>
      <c r="B55" s="13" t="s">
        <v>38</v>
      </c>
      <c r="C55" s="13" t="s">
        <v>264</v>
      </c>
      <c r="D55" s="13"/>
      <c r="E55" s="14" t="n">
        <f aca="false">SUMIFS(E56:E61,D56:D61,"&lt;&gt;")</f>
        <v>10.5</v>
      </c>
      <c r="F55" s="13"/>
      <c r="G55" s="15" t="n">
        <f aca="false">IFERROR(SUMIFS(E56:E61,G56:G61,"Done",D56:D61,"&lt;&gt;")/E55,0)</f>
        <v>0</v>
      </c>
      <c r="H55" s="16" t="n">
        <f aca="false">MIN(H56:H61)</f>
        <v>46332</v>
      </c>
      <c r="I55" s="16" t="n">
        <f aca="false">MAX(I56:I61)</f>
        <v>46338</v>
      </c>
    </row>
    <row r="56" customFormat="false" ht="15" hidden="false" customHeight="false" outlineLevel="0" collapsed="false">
      <c r="A56" s="7" t="s">
        <v>265</v>
      </c>
      <c r="B56" s="7" t="s">
        <v>38</v>
      </c>
      <c r="C56" s="7" t="s">
        <v>266</v>
      </c>
      <c r="D56" s="7" t="s">
        <v>193</v>
      </c>
      <c r="E56" s="17" t="n">
        <v>1.5</v>
      </c>
      <c r="F56" s="7" t="s">
        <v>267</v>
      </c>
      <c r="G56" s="8" t="s">
        <v>195</v>
      </c>
      <c r="H56" s="18" t="n">
        <v>46332</v>
      </c>
      <c r="I56" s="18" t="n">
        <v>46332</v>
      </c>
    </row>
    <row r="57" customFormat="false" ht="15" hidden="false" customHeight="false" outlineLevel="0" collapsed="false">
      <c r="A57" s="7" t="s">
        <v>268</v>
      </c>
      <c r="B57" s="7" t="s">
        <v>38</v>
      </c>
      <c r="C57" s="7" t="s">
        <v>269</v>
      </c>
      <c r="D57" s="7" t="s">
        <v>193</v>
      </c>
      <c r="E57" s="17" t="n">
        <v>1</v>
      </c>
      <c r="F57" s="7" t="s">
        <v>198</v>
      </c>
      <c r="G57" s="8" t="s">
        <v>195</v>
      </c>
      <c r="H57" s="18" t="n">
        <v>46332</v>
      </c>
      <c r="I57" s="18" t="n">
        <v>46338</v>
      </c>
    </row>
    <row r="58" customFormat="false" ht="15" hidden="false" customHeight="false" outlineLevel="0" collapsed="false">
      <c r="A58" s="7" t="s">
        <v>270</v>
      </c>
      <c r="B58" s="7" t="s">
        <v>38</v>
      </c>
      <c r="C58" s="7" t="s">
        <v>271</v>
      </c>
      <c r="D58" s="7" t="s">
        <v>27</v>
      </c>
      <c r="E58" s="17" t="n">
        <v>3</v>
      </c>
      <c r="F58" s="7" t="s">
        <v>272</v>
      </c>
      <c r="G58" s="8" t="s">
        <v>195</v>
      </c>
      <c r="H58" s="18" t="n">
        <v>46335</v>
      </c>
      <c r="I58" s="18" t="n">
        <v>46338</v>
      </c>
    </row>
    <row r="59" customFormat="false" ht="15" hidden="false" customHeight="false" outlineLevel="0" collapsed="false">
      <c r="A59" s="7" t="s">
        <v>273</v>
      </c>
      <c r="B59" s="7" t="s">
        <v>38</v>
      </c>
      <c r="C59" s="7" t="s">
        <v>274</v>
      </c>
      <c r="D59" s="7" t="s">
        <v>26</v>
      </c>
      <c r="E59" s="17" t="n">
        <v>1.5</v>
      </c>
      <c r="F59" s="7" t="s">
        <v>275</v>
      </c>
      <c r="G59" s="8" t="s">
        <v>195</v>
      </c>
      <c r="H59" s="18" t="n">
        <v>46337</v>
      </c>
      <c r="I59" s="18" t="n">
        <v>46338</v>
      </c>
    </row>
    <row r="60" customFormat="false" ht="15" hidden="false" customHeight="false" outlineLevel="0" collapsed="false">
      <c r="A60" s="7" t="s">
        <v>276</v>
      </c>
      <c r="B60" s="7" t="s">
        <v>38</v>
      </c>
      <c r="C60" s="7" t="s">
        <v>277</v>
      </c>
      <c r="D60" s="7" t="s">
        <v>27</v>
      </c>
      <c r="E60" s="17" t="n">
        <v>1.5</v>
      </c>
      <c r="F60" s="7" t="s">
        <v>278</v>
      </c>
      <c r="G60" s="8" t="s">
        <v>195</v>
      </c>
      <c r="H60" s="18" t="n">
        <v>46336</v>
      </c>
      <c r="I60" s="18" t="n">
        <v>46338</v>
      </c>
    </row>
    <row r="61" customFormat="false" ht="15" hidden="false" customHeight="false" outlineLevel="0" collapsed="false">
      <c r="A61" s="7" t="s">
        <v>279</v>
      </c>
      <c r="B61" s="7" t="s">
        <v>38</v>
      </c>
      <c r="C61" s="7" t="s">
        <v>280</v>
      </c>
      <c r="D61" s="7" t="s">
        <v>26</v>
      </c>
      <c r="E61" s="17" t="n">
        <v>2</v>
      </c>
      <c r="F61" s="7" t="s">
        <v>281</v>
      </c>
      <c r="G61" s="8" t="s">
        <v>195</v>
      </c>
      <c r="H61" s="18" t="n">
        <v>46337</v>
      </c>
      <c r="I61" s="18" t="n">
        <v>46338</v>
      </c>
    </row>
    <row r="62" customFormat="false" ht="15" hidden="false" customHeight="false" outlineLevel="0" collapsed="false">
      <c r="A62" s="13" t="s">
        <v>282</v>
      </c>
      <c r="B62" s="13" t="s">
        <v>38</v>
      </c>
      <c r="C62" s="13" t="s">
        <v>283</v>
      </c>
      <c r="D62" s="13"/>
      <c r="E62" s="14" t="n">
        <f aca="false">SUMIFS(E63:E68,D63:D68,"&lt;&gt;")</f>
        <v>16.5</v>
      </c>
      <c r="F62" s="13"/>
      <c r="G62" s="15" t="n">
        <f aca="false">IFERROR(SUMIFS(E63:E68,G63:G68,"Done",D63:D68,"&lt;&gt;")/E62,0)</f>
        <v>0</v>
      </c>
      <c r="H62" s="16" t="n">
        <f aca="false">MIN(H63:H68)</f>
        <v>46333</v>
      </c>
      <c r="I62" s="16" t="n">
        <f aca="false">MAX(I63:I68)</f>
        <v>46337</v>
      </c>
    </row>
    <row r="63" customFormat="false" ht="23.85" hidden="false" customHeight="false" outlineLevel="0" collapsed="false">
      <c r="A63" s="7" t="s">
        <v>284</v>
      </c>
      <c r="B63" s="7" t="s">
        <v>38</v>
      </c>
      <c r="C63" s="7" t="s">
        <v>285</v>
      </c>
      <c r="D63" s="7" t="s">
        <v>27</v>
      </c>
      <c r="E63" s="17" t="n">
        <v>4</v>
      </c>
      <c r="F63" s="7" t="s">
        <v>218</v>
      </c>
      <c r="G63" s="8" t="s">
        <v>195</v>
      </c>
      <c r="H63" s="18" t="n">
        <v>46333</v>
      </c>
      <c r="I63" s="18" t="n">
        <v>46335</v>
      </c>
    </row>
    <row r="64" customFormat="false" ht="15" hidden="false" customHeight="false" outlineLevel="0" collapsed="false">
      <c r="A64" s="7" t="s">
        <v>286</v>
      </c>
      <c r="B64" s="7" t="s">
        <v>38</v>
      </c>
      <c r="C64" s="7" t="s">
        <v>287</v>
      </c>
      <c r="D64" s="7" t="s">
        <v>26</v>
      </c>
      <c r="E64" s="17" t="n">
        <v>3</v>
      </c>
      <c r="F64" s="7" t="s">
        <v>218</v>
      </c>
      <c r="G64" s="8" t="s">
        <v>195</v>
      </c>
      <c r="H64" s="18" t="n">
        <v>46333</v>
      </c>
      <c r="I64" s="18" t="n">
        <v>46334</v>
      </c>
    </row>
    <row r="65" customFormat="false" ht="15" hidden="false" customHeight="false" outlineLevel="0" collapsed="false">
      <c r="A65" s="7" t="s">
        <v>288</v>
      </c>
      <c r="B65" s="7" t="s">
        <v>38</v>
      </c>
      <c r="C65" s="7" t="s">
        <v>289</v>
      </c>
      <c r="D65" s="7" t="s">
        <v>26</v>
      </c>
      <c r="E65" s="17" t="n">
        <v>4</v>
      </c>
      <c r="F65" s="7" t="s">
        <v>218</v>
      </c>
      <c r="G65" s="8" t="s">
        <v>195</v>
      </c>
      <c r="H65" s="18" t="n">
        <v>46334</v>
      </c>
      <c r="I65" s="18" t="n">
        <v>46336</v>
      </c>
    </row>
    <row r="66" customFormat="false" ht="15" hidden="false" customHeight="false" outlineLevel="0" collapsed="false">
      <c r="A66" s="7" t="s">
        <v>290</v>
      </c>
      <c r="B66" s="7" t="s">
        <v>38</v>
      </c>
      <c r="C66" s="7" t="s">
        <v>291</v>
      </c>
      <c r="D66" s="7" t="s">
        <v>26</v>
      </c>
      <c r="E66" s="17" t="n">
        <v>2</v>
      </c>
      <c r="F66" s="7" t="s">
        <v>292</v>
      </c>
      <c r="G66" s="8" t="s">
        <v>195</v>
      </c>
      <c r="H66" s="18" t="n">
        <v>46336</v>
      </c>
      <c r="I66" s="18" t="n">
        <v>46337</v>
      </c>
    </row>
    <row r="67" customFormat="false" ht="15" hidden="false" customHeight="false" outlineLevel="0" collapsed="false">
      <c r="A67" s="7" t="s">
        <v>293</v>
      </c>
      <c r="B67" s="7" t="s">
        <v>38</v>
      </c>
      <c r="C67" s="7" t="s">
        <v>294</v>
      </c>
      <c r="D67" s="7" t="s">
        <v>26</v>
      </c>
      <c r="E67" s="17" t="n">
        <v>1.5</v>
      </c>
      <c r="F67" s="7" t="s">
        <v>218</v>
      </c>
      <c r="G67" s="8" t="s">
        <v>195</v>
      </c>
      <c r="H67" s="18" t="n">
        <v>46333</v>
      </c>
      <c r="I67" s="18" t="n">
        <v>46334</v>
      </c>
    </row>
    <row r="68" customFormat="false" ht="15" hidden="false" customHeight="false" outlineLevel="0" collapsed="false">
      <c r="A68" s="7" t="s">
        <v>295</v>
      </c>
      <c r="B68" s="7" t="s">
        <v>38</v>
      </c>
      <c r="C68" s="7" t="s">
        <v>296</v>
      </c>
      <c r="D68" s="7" t="s">
        <v>27</v>
      </c>
      <c r="E68" s="17" t="n">
        <v>2</v>
      </c>
      <c r="F68" s="7" t="s">
        <v>247</v>
      </c>
      <c r="G68" s="8" t="s">
        <v>195</v>
      </c>
      <c r="H68" s="18" t="n">
        <v>46335</v>
      </c>
      <c r="I68" s="18" t="n">
        <v>46336</v>
      </c>
    </row>
    <row r="69" customFormat="false" ht="15" hidden="false" customHeight="false" outlineLevel="0" collapsed="false">
      <c r="A69" s="13" t="s">
        <v>297</v>
      </c>
      <c r="B69" s="13" t="s">
        <v>38</v>
      </c>
      <c r="C69" s="13" t="s">
        <v>298</v>
      </c>
      <c r="D69" s="13"/>
      <c r="E69" s="14" t="n">
        <f aca="false">SUMIFS(E70:E72,D70:D72,"&lt;&gt;")</f>
        <v>8.5</v>
      </c>
      <c r="F69" s="13"/>
      <c r="G69" s="15" t="n">
        <f aca="false">IFERROR(SUMIFS(E70:E72,G70:G72,"Done",D70:D72,"&lt;&gt;")/E69,0)</f>
        <v>0</v>
      </c>
      <c r="H69" s="16" t="n">
        <f aca="false">MIN(H70:H72)</f>
        <v>46334</v>
      </c>
      <c r="I69" s="16" t="n">
        <f aca="false">MAX(I70:I72)</f>
        <v>46338</v>
      </c>
    </row>
    <row r="70" customFormat="false" ht="15" hidden="false" customHeight="false" outlineLevel="0" collapsed="false">
      <c r="A70" s="7" t="s">
        <v>299</v>
      </c>
      <c r="B70" s="7" t="s">
        <v>38</v>
      </c>
      <c r="C70" s="7" t="s">
        <v>300</v>
      </c>
      <c r="D70" s="7" t="s">
        <v>27</v>
      </c>
      <c r="E70" s="17" t="n">
        <v>2</v>
      </c>
      <c r="F70" s="7" t="s">
        <v>301</v>
      </c>
      <c r="G70" s="8" t="s">
        <v>195</v>
      </c>
      <c r="H70" s="18" t="n">
        <v>46334</v>
      </c>
      <c r="I70" s="18" t="n">
        <v>46336</v>
      </c>
    </row>
    <row r="71" customFormat="false" ht="15" hidden="false" customHeight="false" outlineLevel="0" collapsed="false">
      <c r="A71" s="7" t="s">
        <v>302</v>
      </c>
      <c r="B71" s="7" t="s">
        <v>38</v>
      </c>
      <c r="C71" s="7" t="s">
        <v>303</v>
      </c>
      <c r="D71" s="7" t="s">
        <v>26</v>
      </c>
      <c r="E71" s="17" t="n">
        <v>3</v>
      </c>
      <c r="F71" s="7" t="s">
        <v>304</v>
      </c>
      <c r="G71" s="8" t="s">
        <v>195</v>
      </c>
      <c r="H71" s="18" t="n">
        <v>46336</v>
      </c>
      <c r="I71" s="18" t="n">
        <v>46337</v>
      </c>
    </row>
    <row r="72" customFormat="false" ht="15" hidden="false" customHeight="false" outlineLevel="0" collapsed="false">
      <c r="A72" s="7" t="s">
        <v>305</v>
      </c>
      <c r="B72" s="7" t="s">
        <v>38</v>
      </c>
      <c r="C72" s="7" t="s">
        <v>306</v>
      </c>
      <c r="D72" s="7" t="s">
        <v>27</v>
      </c>
      <c r="E72" s="17" t="n">
        <v>3.5</v>
      </c>
      <c r="F72" s="7" t="s">
        <v>307</v>
      </c>
      <c r="G72" s="8" t="s">
        <v>195</v>
      </c>
      <c r="H72" s="18" t="n">
        <v>46336</v>
      </c>
      <c r="I72" s="18" t="n">
        <v>46338</v>
      </c>
    </row>
    <row r="73" customFormat="false" ht="23.85" hidden="false" customHeight="false" outlineLevel="0" collapsed="false">
      <c r="A73" s="19" t="s">
        <v>308</v>
      </c>
      <c r="B73" s="19" t="s">
        <v>38</v>
      </c>
      <c r="C73" s="19" t="s">
        <v>309</v>
      </c>
      <c r="D73" s="19" t="s">
        <v>26</v>
      </c>
      <c r="E73" s="20" t="n">
        <v>0</v>
      </c>
      <c r="F73" s="19" t="s">
        <v>185</v>
      </c>
      <c r="G73" s="19"/>
      <c r="H73" s="21" t="n">
        <v>46338</v>
      </c>
      <c r="I73" s="21" t="n">
        <v>46338</v>
      </c>
    </row>
    <row r="74" customFormat="false" ht="51.75" hidden="false" customHeight="true" outlineLevel="0" collapsed="false">
      <c r="A74" s="9" t="s">
        <v>310</v>
      </c>
      <c r="B74" s="9" t="s">
        <v>44</v>
      </c>
      <c r="C74" s="9" t="s">
        <v>311</v>
      </c>
      <c r="D74" s="9"/>
      <c r="E74" s="10" t="n">
        <f aca="false">SUMIFS(E75:E84,D75:D84,"&lt;&gt;")</f>
        <v>18</v>
      </c>
      <c r="F74" s="9" t="s">
        <v>312</v>
      </c>
      <c r="G74" s="11" t="n">
        <f aca="false">IFERROR(SUMIFS(E75:E84,G75:G84,"Done",D75:D84,"&lt;&gt;")/E74,0)</f>
        <v>0</v>
      </c>
      <c r="H74" s="12" t="n">
        <f aca="false">MIN(H75:H84)</f>
        <v>46339</v>
      </c>
      <c r="I74" s="12" t="n">
        <f aca="false">MAX(I75:I84)</f>
        <v>46343</v>
      </c>
    </row>
    <row r="75" customFormat="false" ht="15" hidden="false" customHeight="false" outlineLevel="0" collapsed="false">
      <c r="A75" s="13" t="s">
        <v>313</v>
      </c>
      <c r="B75" s="13" t="s">
        <v>44</v>
      </c>
      <c r="C75" s="13" t="s">
        <v>314</v>
      </c>
      <c r="D75" s="13"/>
      <c r="E75" s="14" t="n">
        <f aca="false">SUMIFS(E76:E77,D76:D77,"&lt;&gt;")</f>
        <v>4</v>
      </c>
      <c r="F75" s="13"/>
      <c r="G75" s="15" t="n">
        <f aca="false">IFERROR(SUMIFS(E76:E77,G76:G77,"Done",D76:D77,"&lt;&gt;")/E75,0)</f>
        <v>0</v>
      </c>
      <c r="H75" s="16" t="n">
        <f aca="false">MIN(H76:H77)</f>
        <v>46339</v>
      </c>
      <c r="I75" s="16" t="n">
        <f aca="false">MAX(I76:I77)</f>
        <v>46340</v>
      </c>
    </row>
    <row r="76" customFormat="false" ht="15" hidden="false" customHeight="false" outlineLevel="0" collapsed="false">
      <c r="A76" s="7" t="s">
        <v>315</v>
      </c>
      <c r="B76" s="7" t="s">
        <v>44</v>
      </c>
      <c r="C76" s="7" t="s">
        <v>316</v>
      </c>
      <c r="D76" s="7" t="s">
        <v>193</v>
      </c>
      <c r="E76" s="17" t="n">
        <v>2</v>
      </c>
      <c r="F76" s="7" t="s">
        <v>317</v>
      </c>
      <c r="G76" s="8" t="s">
        <v>195</v>
      </c>
      <c r="H76" s="18" t="n">
        <v>46339</v>
      </c>
      <c r="I76" s="18" t="n">
        <v>46339</v>
      </c>
    </row>
    <row r="77" customFormat="false" ht="15" hidden="false" customHeight="false" outlineLevel="0" collapsed="false">
      <c r="A77" s="7" t="s">
        <v>318</v>
      </c>
      <c r="B77" s="7" t="s">
        <v>44</v>
      </c>
      <c r="C77" s="7" t="s">
        <v>319</v>
      </c>
      <c r="D77" s="7" t="s">
        <v>26</v>
      </c>
      <c r="E77" s="17" t="n">
        <v>2</v>
      </c>
      <c r="F77" s="7" t="s">
        <v>320</v>
      </c>
      <c r="G77" s="8" t="s">
        <v>195</v>
      </c>
      <c r="H77" s="18" t="n">
        <v>46339</v>
      </c>
      <c r="I77" s="18" t="n">
        <v>46340</v>
      </c>
    </row>
    <row r="78" customFormat="false" ht="15" hidden="false" customHeight="false" outlineLevel="0" collapsed="false">
      <c r="A78" s="13" t="s">
        <v>321</v>
      </c>
      <c r="B78" s="13" t="s">
        <v>44</v>
      </c>
      <c r="C78" s="13" t="s">
        <v>322</v>
      </c>
      <c r="D78" s="13"/>
      <c r="E78" s="14" t="n">
        <f aca="false">SUMIFS(E79:E83,D79:D83,"&lt;&gt;")</f>
        <v>14</v>
      </c>
      <c r="F78" s="13"/>
      <c r="G78" s="15" t="n">
        <f aca="false">IFERROR(SUMIFS(E79:E83,G79:G83,"Done",D79:D83,"&lt;&gt;")/E78,0)</f>
        <v>0</v>
      </c>
      <c r="H78" s="16" t="n">
        <f aca="false">MIN(H79:H83)</f>
        <v>46339</v>
      </c>
      <c r="I78" s="16" t="n">
        <f aca="false">MAX(I79:I83)</f>
        <v>46343</v>
      </c>
    </row>
    <row r="79" customFormat="false" ht="23.85" hidden="false" customHeight="false" outlineLevel="0" collapsed="false">
      <c r="A79" s="7" t="s">
        <v>323</v>
      </c>
      <c r="B79" s="7" t="s">
        <v>44</v>
      </c>
      <c r="C79" s="7" t="s">
        <v>324</v>
      </c>
      <c r="D79" s="7" t="s">
        <v>27</v>
      </c>
      <c r="E79" s="17" t="n">
        <v>4</v>
      </c>
      <c r="F79" s="7" t="s">
        <v>325</v>
      </c>
      <c r="G79" s="8" t="s">
        <v>195</v>
      </c>
      <c r="H79" s="18" t="n">
        <v>46339</v>
      </c>
      <c r="I79" s="18" t="n">
        <v>46341</v>
      </c>
    </row>
    <row r="80" customFormat="false" ht="15" hidden="false" customHeight="false" outlineLevel="0" collapsed="false">
      <c r="A80" s="7" t="s">
        <v>326</v>
      </c>
      <c r="B80" s="7" t="s">
        <v>44</v>
      </c>
      <c r="C80" s="7" t="s">
        <v>327</v>
      </c>
      <c r="D80" s="7" t="s">
        <v>26</v>
      </c>
      <c r="E80" s="17" t="n">
        <v>3</v>
      </c>
      <c r="F80" s="7" t="s">
        <v>328</v>
      </c>
      <c r="G80" s="8" t="s">
        <v>195</v>
      </c>
      <c r="H80" s="18" t="n">
        <v>46339</v>
      </c>
      <c r="I80" s="18" t="n">
        <v>46341</v>
      </c>
    </row>
    <row r="81" customFormat="false" ht="15" hidden="false" customHeight="false" outlineLevel="0" collapsed="false">
      <c r="A81" s="7" t="s">
        <v>329</v>
      </c>
      <c r="B81" s="7" t="s">
        <v>44</v>
      </c>
      <c r="C81" s="7" t="s">
        <v>330</v>
      </c>
      <c r="D81" s="7" t="s">
        <v>193</v>
      </c>
      <c r="E81" s="17" t="n">
        <v>4</v>
      </c>
      <c r="F81" s="7" t="s">
        <v>331</v>
      </c>
      <c r="G81" s="8" t="s">
        <v>195</v>
      </c>
      <c r="H81" s="18" t="n">
        <v>46340</v>
      </c>
      <c r="I81" s="18" t="n">
        <v>46341</v>
      </c>
    </row>
    <row r="82" customFormat="false" ht="15" hidden="false" customHeight="false" outlineLevel="0" collapsed="false">
      <c r="A82" s="7" t="s">
        <v>332</v>
      </c>
      <c r="B82" s="7" t="s">
        <v>44</v>
      </c>
      <c r="C82" s="7" t="s">
        <v>333</v>
      </c>
      <c r="D82" s="7" t="s">
        <v>193</v>
      </c>
      <c r="E82" s="17" t="n">
        <v>1</v>
      </c>
      <c r="F82" s="7" t="s">
        <v>334</v>
      </c>
      <c r="G82" s="8" t="s">
        <v>195</v>
      </c>
      <c r="H82" s="18" t="n">
        <v>46341</v>
      </c>
      <c r="I82" s="18" t="n">
        <v>46341</v>
      </c>
    </row>
    <row r="83" customFormat="false" ht="15" hidden="false" customHeight="false" outlineLevel="0" collapsed="false">
      <c r="A83" s="7" t="s">
        <v>335</v>
      </c>
      <c r="B83" s="7" t="s">
        <v>44</v>
      </c>
      <c r="C83" s="7" t="s">
        <v>336</v>
      </c>
      <c r="D83" s="7" t="s">
        <v>193</v>
      </c>
      <c r="E83" s="17" t="n">
        <v>2</v>
      </c>
      <c r="F83" s="7" t="s">
        <v>337</v>
      </c>
      <c r="G83" s="8" t="s">
        <v>195</v>
      </c>
      <c r="H83" s="18" t="n">
        <v>46342</v>
      </c>
      <c r="I83" s="18" t="n">
        <v>46343</v>
      </c>
    </row>
    <row r="84" customFormat="false" ht="15" hidden="false" customHeight="false" outlineLevel="0" collapsed="false">
      <c r="A84" s="19" t="s">
        <v>338</v>
      </c>
      <c r="B84" s="19" t="s">
        <v>44</v>
      </c>
      <c r="C84" s="19" t="s">
        <v>339</v>
      </c>
      <c r="D84" s="19" t="s">
        <v>193</v>
      </c>
      <c r="E84" s="20" t="n">
        <v>0</v>
      </c>
      <c r="F84" s="19"/>
      <c r="G84" s="19"/>
      <c r="H84" s="21" t="n">
        <v>46343</v>
      </c>
      <c r="I84" s="21" t="n">
        <v>46343</v>
      </c>
    </row>
    <row r="86" customFormat="false" ht="15" hidden="false" customHeight="false" outlineLevel="0" collapsed="false">
      <c r="C86" s="3" t="s">
        <v>340</v>
      </c>
      <c r="E86" s="22" t="n">
        <f aca="false">E5+E25+E54</f>
        <v>123.25</v>
      </c>
    </row>
    <row r="87" customFormat="false" ht="15" hidden="false" customHeight="false" outlineLevel="0" collapsed="false">
      <c r="C87" s="3" t="s">
        <v>341</v>
      </c>
      <c r="E87" s="22" t="n">
        <f aca="false">E74</f>
        <v>18</v>
      </c>
    </row>
  </sheetData>
  <dataValidations count="2">
    <dataValidation allowBlank="true" errorStyle="stop" operator="between" showDropDown="false" showErrorMessage="false" showInputMessage="false" sqref="G7:G14 G16:G21 G23 G27:G32 G34:G42 G44:G49 G51:G52 G56:G61 G63:G68 G70:G72 G76:G77 G79:G83" type="list">
      <formula1>"To Do,In Progress,Done"</formula1>
      <formula2>0</formula2>
    </dataValidation>
    <dataValidation allowBlank="true" errorStyle="stop" operator="between" showDropDown="false" showErrorMessage="false" showInputMessage="false" sqref="D7:D14 D16:D21 D23 D27:D32 D34:D42 D44:D49 D51:D52 D56:D61 D63:D68 D70:D72 D76:D77 D79:D83" type="list">
      <formula1>"Hồ Du Tuấn Đạt,Nguyễn Minh Chính,Both"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58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20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342</v>
      </c>
    </row>
    <row r="2" customFormat="false" ht="15" hidden="false" customHeight="false" outlineLevel="0" collapsed="false">
      <c r="A2" s="2" t="s">
        <v>343</v>
      </c>
    </row>
    <row r="4" customFormat="false" ht="15" hidden="false" customHeight="false" outlineLevel="0" collapsed="false">
      <c r="A4" s="6" t="s">
        <v>344</v>
      </c>
      <c r="B4" s="6" t="s">
        <v>345</v>
      </c>
      <c r="C4" s="6" t="s">
        <v>346</v>
      </c>
      <c r="D4" s="6" t="s">
        <v>347</v>
      </c>
      <c r="E4" s="6" t="s">
        <v>348</v>
      </c>
      <c r="F4" s="6" t="s">
        <v>349</v>
      </c>
      <c r="G4" s="6" t="s">
        <v>16</v>
      </c>
      <c r="H4" s="6" t="s">
        <v>350</v>
      </c>
      <c r="I4" s="6" t="s">
        <v>351</v>
      </c>
    </row>
    <row r="5" customFormat="false" ht="23.85" hidden="false" customHeight="false" outlineLevel="0" collapsed="false">
      <c r="A5" s="7" t="s">
        <v>352</v>
      </c>
      <c r="B5" s="7" t="s">
        <v>353</v>
      </c>
      <c r="C5" s="7" t="s">
        <v>354</v>
      </c>
      <c r="D5" s="7" t="s">
        <v>355</v>
      </c>
      <c r="E5" s="7" t="str">
        <f aca="false">IFERROR(IF(INDEX(8_PlanningPoker!$F$9:$F$28,MATCH(A5,8_PlanningPoker!$A$9:$A$28,0))="","",INDEX(8_PlanningPoker!$F$9:$F$28,MATCH(A5,8_PlanningPoker!$A$9:$A$28,0))),"")</f>
        <v/>
      </c>
      <c r="F5" s="7" t="s">
        <v>356</v>
      </c>
      <c r="G5" s="8" t="s">
        <v>24</v>
      </c>
      <c r="H5" s="7" t="s">
        <v>26</v>
      </c>
      <c r="I5" s="7" t="s">
        <v>357</v>
      </c>
    </row>
    <row r="6" customFormat="false" ht="15" hidden="false" customHeight="false" outlineLevel="0" collapsed="false">
      <c r="A6" s="7" t="s">
        <v>358</v>
      </c>
      <c r="B6" s="7" t="s">
        <v>353</v>
      </c>
      <c r="C6" s="7" t="s">
        <v>354</v>
      </c>
      <c r="D6" s="7" t="s">
        <v>359</v>
      </c>
      <c r="E6" s="7" t="str">
        <f aca="false">IFERROR(IF(INDEX(8_PlanningPoker!$F$9:$F$28,MATCH(A6,8_PlanningPoker!$A$9:$A$28,0))="","",INDEX(8_PlanningPoker!$F$9:$F$28,MATCH(A6,8_PlanningPoker!$A$9:$A$28,0))),"")</f>
        <v/>
      </c>
      <c r="F6" s="7" t="s">
        <v>356</v>
      </c>
      <c r="G6" s="8" t="s">
        <v>24</v>
      </c>
      <c r="H6" s="7" t="s">
        <v>26</v>
      </c>
      <c r="I6" s="7" t="s">
        <v>360</v>
      </c>
    </row>
    <row r="7" customFormat="false" ht="15" hidden="false" customHeight="false" outlineLevel="0" collapsed="false">
      <c r="A7" s="7" t="s">
        <v>361</v>
      </c>
      <c r="B7" s="7" t="s">
        <v>353</v>
      </c>
      <c r="C7" s="7" t="s">
        <v>354</v>
      </c>
      <c r="D7" s="7" t="s">
        <v>362</v>
      </c>
      <c r="E7" s="7" t="str">
        <f aca="false">IFERROR(IF(INDEX(8_PlanningPoker!$F$9:$F$28,MATCH(A7,8_PlanningPoker!$A$9:$A$28,0))="","",INDEX(8_PlanningPoker!$F$9:$F$28,MATCH(A7,8_PlanningPoker!$A$9:$A$28,0))),"")</f>
        <v/>
      </c>
      <c r="F7" s="7" t="s">
        <v>356</v>
      </c>
      <c r="G7" s="8" t="s">
        <v>24</v>
      </c>
      <c r="H7" s="7" t="s">
        <v>27</v>
      </c>
      <c r="I7" s="7" t="s">
        <v>363</v>
      </c>
    </row>
    <row r="8" customFormat="false" ht="23.85" hidden="false" customHeight="false" outlineLevel="0" collapsed="false">
      <c r="A8" s="7" t="s">
        <v>364</v>
      </c>
      <c r="B8" s="7" t="s">
        <v>353</v>
      </c>
      <c r="C8" s="7" t="s">
        <v>354</v>
      </c>
      <c r="D8" s="7" t="s">
        <v>365</v>
      </c>
      <c r="E8" s="7" t="str">
        <f aca="false">IFERROR(IF(INDEX(8_PlanningPoker!$F$9:$F$28,MATCH(A8,8_PlanningPoker!$A$9:$A$28,0))="","",INDEX(8_PlanningPoker!$F$9:$F$28,MATCH(A8,8_PlanningPoker!$A$9:$A$28,0))),"")</f>
        <v/>
      </c>
      <c r="F8" s="7" t="s">
        <v>356</v>
      </c>
      <c r="G8" s="8" t="s">
        <v>24</v>
      </c>
      <c r="H8" s="7" t="s">
        <v>26</v>
      </c>
      <c r="I8" s="7" t="s">
        <v>366</v>
      </c>
    </row>
    <row r="9" customFormat="false" ht="15" hidden="false" customHeight="false" outlineLevel="0" collapsed="false">
      <c r="A9" s="7" t="s">
        <v>367</v>
      </c>
      <c r="B9" s="7" t="s">
        <v>353</v>
      </c>
      <c r="C9" s="7" t="s">
        <v>368</v>
      </c>
      <c r="D9" s="7" t="s">
        <v>369</v>
      </c>
      <c r="E9" s="7" t="str">
        <f aca="false">IFERROR(IF(INDEX(8_PlanningPoker!$F$9:$F$28,MATCH(A9,8_PlanningPoker!$A$9:$A$28,0))="","",INDEX(8_PlanningPoker!$F$9:$F$28,MATCH(A9,8_PlanningPoker!$A$9:$A$28,0))),"")</f>
        <v/>
      </c>
      <c r="F9" s="7" t="s">
        <v>356</v>
      </c>
      <c r="G9" s="8" t="s">
        <v>24</v>
      </c>
      <c r="H9" s="7" t="s">
        <v>26</v>
      </c>
      <c r="I9" s="7" t="s">
        <v>366</v>
      </c>
    </row>
    <row r="10" customFormat="false" ht="15" hidden="false" customHeight="false" outlineLevel="0" collapsed="false">
      <c r="A10" s="7" t="s">
        <v>370</v>
      </c>
      <c r="B10" s="7" t="s">
        <v>371</v>
      </c>
      <c r="C10" s="7" t="s">
        <v>368</v>
      </c>
      <c r="D10" s="7" t="s">
        <v>372</v>
      </c>
      <c r="E10" s="7" t="str">
        <f aca="false">IFERROR(IF(INDEX(8_PlanningPoker!$F$9:$F$28,MATCH(A10,8_PlanningPoker!$A$9:$A$28,0))="","",INDEX(8_PlanningPoker!$F$9:$F$28,MATCH(A10,8_PlanningPoker!$A$9:$A$28,0))),"")</f>
        <v/>
      </c>
      <c r="F10" s="7" t="s">
        <v>356</v>
      </c>
      <c r="G10" s="8" t="s">
        <v>24</v>
      </c>
      <c r="H10" s="7" t="s">
        <v>26</v>
      </c>
      <c r="I10" s="7" t="s">
        <v>366</v>
      </c>
    </row>
    <row r="11" customFormat="false" ht="23.85" hidden="false" customHeight="false" outlineLevel="0" collapsed="false">
      <c r="A11" s="7" t="s">
        <v>373</v>
      </c>
      <c r="B11" s="7" t="s">
        <v>374</v>
      </c>
      <c r="C11" s="7" t="s">
        <v>375</v>
      </c>
      <c r="D11" s="7" t="s">
        <v>376</v>
      </c>
      <c r="E11" s="7" t="str">
        <f aca="false">IFERROR(IF(INDEX(8_PlanningPoker!$F$9:$F$28,MATCH(A11,8_PlanningPoker!$A$9:$A$28,0))="","",INDEX(8_PlanningPoker!$F$9:$F$28,MATCH(A11,8_PlanningPoker!$A$9:$A$28,0))),"")</f>
        <v/>
      </c>
      <c r="F11" s="7" t="s">
        <v>356</v>
      </c>
      <c r="G11" s="8" t="s">
        <v>32</v>
      </c>
      <c r="H11" s="7" t="s">
        <v>26</v>
      </c>
      <c r="I11" s="7" t="s">
        <v>377</v>
      </c>
    </row>
    <row r="12" customFormat="false" ht="15" hidden="false" customHeight="false" outlineLevel="0" collapsed="false">
      <c r="A12" s="7" t="s">
        <v>378</v>
      </c>
      <c r="B12" s="7" t="s">
        <v>374</v>
      </c>
      <c r="C12" s="7" t="s">
        <v>375</v>
      </c>
      <c r="D12" s="7" t="s">
        <v>379</v>
      </c>
      <c r="E12" s="7" t="str">
        <f aca="false">IFERROR(IF(INDEX(8_PlanningPoker!$F$9:$F$28,MATCH(A12,8_PlanningPoker!$A$9:$A$28,0))="","",INDEX(8_PlanningPoker!$F$9:$F$28,MATCH(A12,8_PlanningPoker!$A$9:$A$28,0))),"")</f>
        <v/>
      </c>
      <c r="F12" s="7" t="s">
        <v>356</v>
      </c>
      <c r="G12" s="8" t="s">
        <v>32</v>
      </c>
      <c r="H12" s="7" t="s">
        <v>26</v>
      </c>
      <c r="I12" s="7" t="s">
        <v>380</v>
      </c>
    </row>
    <row r="13" customFormat="false" ht="15" hidden="false" customHeight="false" outlineLevel="0" collapsed="false">
      <c r="A13" s="7" t="s">
        <v>381</v>
      </c>
      <c r="B13" s="7" t="s">
        <v>374</v>
      </c>
      <c r="C13" s="7" t="s">
        <v>375</v>
      </c>
      <c r="D13" s="7" t="s">
        <v>382</v>
      </c>
      <c r="E13" s="7" t="str">
        <f aca="false">IFERROR(IF(INDEX(8_PlanningPoker!$F$9:$F$28,MATCH(A13,8_PlanningPoker!$A$9:$A$28,0))="","",INDEX(8_PlanningPoker!$F$9:$F$28,MATCH(A13,8_PlanningPoker!$A$9:$A$28,0))),"")</f>
        <v/>
      </c>
      <c r="F13" s="7" t="s">
        <v>356</v>
      </c>
      <c r="G13" s="8" t="s">
        <v>32</v>
      </c>
      <c r="H13" s="7" t="s">
        <v>26</v>
      </c>
      <c r="I13" s="7" t="s">
        <v>383</v>
      </c>
    </row>
    <row r="14" customFormat="false" ht="15" hidden="false" customHeight="false" outlineLevel="0" collapsed="false">
      <c r="A14" s="7" t="s">
        <v>384</v>
      </c>
      <c r="B14" s="7" t="s">
        <v>374</v>
      </c>
      <c r="C14" s="7" t="s">
        <v>375</v>
      </c>
      <c r="D14" s="7" t="s">
        <v>385</v>
      </c>
      <c r="E14" s="7" t="str">
        <f aca="false">IFERROR(IF(INDEX(8_PlanningPoker!$F$9:$F$28,MATCH(A14,8_PlanningPoker!$A$9:$A$28,0))="","",INDEX(8_PlanningPoker!$F$9:$F$28,MATCH(A14,8_PlanningPoker!$A$9:$A$28,0))),"")</f>
        <v/>
      </c>
      <c r="F14" s="7" t="s">
        <v>356</v>
      </c>
      <c r="G14" s="8" t="s">
        <v>32</v>
      </c>
      <c r="H14" s="7" t="s">
        <v>27</v>
      </c>
      <c r="I14" s="7" t="s">
        <v>386</v>
      </c>
    </row>
    <row r="15" customFormat="false" ht="15" hidden="false" customHeight="false" outlineLevel="0" collapsed="false">
      <c r="A15" s="7" t="s">
        <v>387</v>
      </c>
      <c r="B15" s="7" t="s">
        <v>374</v>
      </c>
      <c r="C15" s="7" t="s">
        <v>375</v>
      </c>
      <c r="D15" s="7" t="s">
        <v>388</v>
      </c>
      <c r="E15" s="7" t="str">
        <f aca="false">IFERROR(IF(INDEX(8_PlanningPoker!$F$9:$F$28,MATCH(A15,8_PlanningPoker!$A$9:$A$28,0))="","",INDEX(8_PlanningPoker!$F$9:$F$28,MATCH(A15,8_PlanningPoker!$A$9:$A$28,0))),"")</f>
        <v/>
      </c>
      <c r="F15" s="7" t="s">
        <v>356</v>
      </c>
      <c r="G15" s="8" t="s">
        <v>32</v>
      </c>
      <c r="H15" s="7" t="s">
        <v>27</v>
      </c>
      <c r="I15" s="7" t="s">
        <v>386</v>
      </c>
    </row>
    <row r="16" customFormat="false" ht="15" hidden="false" customHeight="false" outlineLevel="0" collapsed="false">
      <c r="A16" s="7" t="s">
        <v>389</v>
      </c>
      <c r="B16" s="7" t="s">
        <v>390</v>
      </c>
      <c r="C16" s="7" t="s">
        <v>368</v>
      </c>
      <c r="D16" s="7" t="s">
        <v>391</v>
      </c>
      <c r="E16" s="7" t="str">
        <f aca="false">IFERROR(IF(INDEX(8_PlanningPoker!$F$9:$F$28,MATCH(A16,8_PlanningPoker!$A$9:$A$28,0))="","",INDEX(8_PlanningPoker!$F$9:$F$28,MATCH(A16,8_PlanningPoker!$A$9:$A$28,0))),"")</f>
        <v/>
      </c>
      <c r="F16" s="7" t="s">
        <v>356</v>
      </c>
      <c r="G16" s="8" t="s">
        <v>32</v>
      </c>
      <c r="H16" s="7" t="s">
        <v>26</v>
      </c>
      <c r="I16" s="7" t="s">
        <v>392</v>
      </c>
    </row>
    <row r="17" customFormat="false" ht="15" hidden="false" customHeight="false" outlineLevel="0" collapsed="false">
      <c r="A17" s="7" t="s">
        <v>393</v>
      </c>
      <c r="B17" s="7" t="s">
        <v>394</v>
      </c>
      <c r="C17" s="7" t="s">
        <v>395</v>
      </c>
      <c r="D17" s="7" t="s">
        <v>396</v>
      </c>
      <c r="E17" s="7" t="str">
        <f aca="false">IFERROR(IF(INDEX(8_PlanningPoker!$F$9:$F$28,MATCH(A17,8_PlanningPoker!$A$9:$A$28,0))="","",INDEX(8_PlanningPoker!$F$9:$F$28,MATCH(A17,8_PlanningPoker!$A$9:$A$28,0))),"")</f>
        <v/>
      </c>
      <c r="F17" s="7" t="s">
        <v>356</v>
      </c>
      <c r="G17" s="8" t="s">
        <v>32</v>
      </c>
      <c r="H17" s="7" t="s">
        <v>27</v>
      </c>
      <c r="I17" s="7" t="s">
        <v>397</v>
      </c>
    </row>
    <row r="18" customFormat="false" ht="15" hidden="false" customHeight="false" outlineLevel="0" collapsed="false">
      <c r="A18" s="7" t="s">
        <v>398</v>
      </c>
      <c r="B18" s="7" t="s">
        <v>394</v>
      </c>
      <c r="C18" s="7" t="s">
        <v>368</v>
      </c>
      <c r="D18" s="7" t="s">
        <v>399</v>
      </c>
      <c r="E18" s="7" t="str">
        <f aca="false">IFERROR(IF(INDEX(8_PlanningPoker!$F$9:$F$28,MATCH(A18,8_PlanningPoker!$A$9:$A$28,0))="","",INDEX(8_PlanningPoker!$F$9:$F$28,MATCH(A18,8_PlanningPoker!$A$9:$A$28,0))),"")</f>
        <v/>
      </c>
      <c r="F18" s="7" t="s">
        <v>356</v>
      </c>
      <c r="G18" s="8" t="s">
        <v>32</v>
      </c>
      <c r="H18" s="7" t="s">
        <v>27</v>
      </c>
      <c r="I18" s="7" t="s">
        <v>400</v>
      </c>
    </row>
    <row r="19" customFormat="false" ht="23.85" hidden="false" customHeight="false" outlineLevel="0" collapsed="false">
      <c r="A19" s="7" t="s">
        <v>401</v>
      </c>
      <c r="B19" s="7" t="s">
        <v>402</v>
      </c>
      <c r="C19" s="7" t="s">
        <v>395</v>
      </c>
      <c r="D19" s="7" t="s">
        <v>403</v>
      </c>
      <c r="E19" s="7" t="str">
        <f aca="false">IFERROR(IF(INDEX(8_PlanningPoker!$F$9:$F$28,MATCH(A19,8_PlanningPoker!$A$9:$A$28,0))="","",INDEX(8_PlanningPoker!$F$9:$F$28,MATCH(A19,8_PlanningPoker!$A$9:$A$28,0))),"")</f>
        <v/>
      </c>
      <c r="F19" s="7" t="s">
        <v>356</v>
      </c>
      <c r="G19" s="8" t="s">
        <v>38</v>
      </c>
      <c r="H19" s="7" t="s">
        <v>27</v>
      </c>
      <c r="I19" s="7" t="s">
        <v>404</v>
      </c>
    </row>
    <row r="20" customFormat="false" ht="15" hidden="false" customHeight="false" outlineLevel="0" collapsed="false">
      <c r="A20" s="7" t="s">
        <v>405</v>
      </c>
      <c r="B20" s="7" t="s">
        <v>406</v>
      </c>
      <c r="C20" s="7" t="s">
        <v>395</v>
      </c>
      <c r="D20" s="7" t="s">
        <v>407</v>
      </c>
      <c r="E20" s="7" t="str">
        <f aca="false">IFERROR(IF(INDEX(8_PlanningPoker!$F$9:$F$28,MATCH(A20,8_PlanningPoker!$A$9:$A$28,0))="","",INDEX(8_PlanningPoker!$F$9:$F$28,MATCH(A20,8_PlanningPoker!$A$9:$A$28,0))),"")</f>
        <v/>
      </c>
      <c r="F20" s="7" t="s">
        <v>356</v>
      </c>
      <c r="G20" s="8" t="s">
        <v>38</v>
      </c>
      <c r="H20" s="7" t="s">
        <v>26</v>
      </c>
      <c r="I20" s="7" t="s">
        <v>408</v>
      </c>
    </row>
    <row r="21" customFormat="false" ht="23.85" hidden="false" customHeight="false" outlineLevel="0" collapsed="false">
      <c r="A21" s="7" t="s">
        <v>409</v>
      </c>
      <c r="B21" s="7" t="s">
        <v>406</v>
      </c>
      <c r="C21" s="7" t="s">
        <v>395</v>
      </c>
      <c r="D21" s="7" t="s">
        <v>410</v>
      </c>
      <c r="E21" s="7" t="str">
        <f aca="false">IFERROR(IF(INDEX(8_PlanningPoker!$F$9:$F$28,MATCH(A21,8_PlanningPoker!$A$9:$A$28,0))="","",INDEX(8_PlanningPoker!$F$9:$F$28,MATCH(A21,8_PlanningPoker!$A$9:$A$28,0))),"")</f>
        <v/>
      </c>
      <c r="F21" s="7" t="s">
        <v>356</v>
      </c>
      <c r="G21" s="8" t="s">
        <v>38</v>
      </c>
      <c r="H21" s="7" t="s">
        <v>26</v>
      </c>
      <c r="I21" s="7" t="s">
        <v>411</v>
      </c>
    </row>
    <row r="22" customFormat="false" ht="15" hidden="false" customHeight="false" outlineLevel="0" collapsed="false">
      <c r="A22" s="7" t="s">
        <v>412</v>
      </c>
      <c r="B22" s="7" t="s">
        <v>413</v>
      </c>
      <c r="C22" s="7" t="s">
        <v>368</v>
      </c>
      <c r="D22" s="7" t="s">
        <v>414</v>
      </c>
      <c r="E22" s="7" t="str">
        <f aca="false">IFERROR(IF(INDEX(8_PlanningPoker!$F$9:$F$28,MATCH(A22,8_PlanningPoker!$A$9:$A$28,0))="","",INDEX(8_PlanningPoker!$F$9:$F$28,MATCH(A22,8_PlanningPoker!$A$9:$A$28,0))),"")</f>
        <v/>
      </c>
      <c r="F22" s="7" t="s">
        <v>356</v>
      </c>
      <c r="G22" s="8" t="s">
        <v>38</v>
      </c>
      <c r="H22" s="7" t="s">
        <v>26</v>
      </c>
      <c r="I22" s="7" t="s">
        <v>415</v>
      </c>
    </row>
    <row r="23" customFormat="false" ht="23.85" hidden="false" customHeight="false" outlineLevel="0" collapsed="false">
      <c r="A23" s="7" t="s">
        <v>416</v>
      </c>
      <c r="B23" s="7" t="s">
        <v>417</v>
      </c>
      <c r="C23" s="7" t="s">
        <v>354</v>
      </c>
      <c r="D23" s="7" t="s">
        <v>418</v>
      </c>
      <c r="E23" s="7" t="str">
        <f aca="false">IFERROR(IF(INDEX(8_PlanningPoker!$F$9:$F$28,MATCH(A23,8_PlanningPoker!$A$9:$A$28,0))="","",INDEX(8_PlanningPoker!$F$9:$F$28,MATCH(A23,8_PlanningPoker!$A$9:$A$28,0))),"")</f>
        <v/>
      </c>
      <c r="F23" s="7" t="s">
        <v>419</v>
      </c>
      <c r="G23" s="8" t="s">
        <v>420</v>
      </c>
      <c r="H23" s="7" t="s">
        <v>26</v>
      </c>
      <c r="I23" s="7" t="s">
        <v>421</v>
      </c>
    </row>
    <row r="24" customFormat="false" ht="15" hidden="false" customHeight="false" outlineLevel="0" collapsed="false">
      <c r="A24" s="7" t="s">
        <v>422</v>
      </c>
      <c r="B24" s="7" t="s">
        <v>374</v>
      </c>
      <c r="C24" s="7" t="s">
        <v>375</v>
      </c>
      <c r="D24" s="7" t="s">
        <v>423</v>
      </c>
      <c r="E24" s="7" t="str">
        <f aca="false">IFERROR(IF(INDEX(8_PlanningPoker!$F$9:$F$28,MATCH(A24,8_PlanningPoker!$A$9:$A$28,0))="","",INDEX(8_PlanningPoker!$F$9:$F$28,MATCH(A24,8_PlanningPoker!$A$9:$A$28,0))),"")</f>
        <v/>
      </c>
      <c r="F24" s="7" t="s">
        <v>419</v>
      </c>
      <c r="G24" s="8" t="s">
        <v>420</v>
      </c>
      <c r="H24" s="7" t="s">
        <v>26</v>
      </c>
      <c r="I24" s="7" t="s">
        <v>424</v>
      </c>
    </row>
    <row r="25" customFormat="false" ht="15" hidden="false" customHeight="false" outlineLevel="0" collapsed="false">
      <c r="A25" s="7" t="s">
        <v>425</v>
      </c>
      <c r="B25" s="7" t="s">
        <v>426</v>
      </c>
      <c r="C25" s="7" t="s">
        <v>427</v>
      </c>
      <c r="D25" s="7" t="s">
        <v>428</v>
      </c>
      <c r="E25" s="7" t="str">
        <f aca="false">IFERROR(IF(INDEX(8_PlanningPoker!$F$9:$F$28,MATCH(A25,8_PlanningPoker!$A$9:$A$28,0))="","",INDEX(8_PlanningPoker!$F$9:$F$28,MATCH(A25,8_PlanningPoker!$A$9:$A$28,0))),"")</f>
        <v/>
      </c>
      <c r="F25" s="7" t="s">
        <v>429</v>
      </c>
      <c r="G25" s="8" t="s">
        <v>430</v>
      </c>
      <c r="H25" s="7"/>
      <c r="I25" s="7" t="s">
        <v>431</v>
      </c>
    </row>
    <row r="26" customFormat="false" ht="15" hidden="false" customHeight="false" outlineLevel="0" collapsed="false">
      <c r="A26" s="7" t="s">
        <v>432</v>
      </c>
      <c r="B26" s="7" t="s">
        <v>426</v>
      </c>
      <c r="C26" s="7" t="s">
        <v>427</v>
      </c>
      <c r="D26" s="7" t="s">
        <v>433</v>
      </c>
      <c r="E26" s="7" t="str">
        <f aca="false">IFERROR(IF(INDEX(8_PlanningPoker!$F$9:$F$28,MATCH(A26,8_PlanningPoker!$A$9:$A$28,0))="","",INDEX(8_PlanningPoker!$F$9:$F$28,MATCH(A26,8_PlanningPoker!$A$9:$A$28,0))),"")</f>
        <v/>
      </c>
      <c r="F26" s="7" t="s">
        <v>429</v>
      </c>
      <c r="G26" s="8" t="s">
        <v>430</v>
      </c>
      <c r="H26" s="7"/>
      <c r="I26" s="7" t="s">
        <v>434</v>
      </c>
    </row>
    <row r="27" customFormat="false" ht="15" hidden="false" customHeight="false" outlineLevel="0" collapsed="false">
      <c r="A27" s="7" t="s">
        <v>435</v>
      </c>
      <c r="B27" s="7" t="s">
        <v>426</v>
      </c>
      <c r="C27" s="7" t="s">
        <v>427</v>
      </c>
      <c r="D27" s="7" t="s">
        <v>436</v>
      </c>
      <c r="E27" s="7" t="str">
        <f aca="false">IFERROR(IF(INDEX(8_PlanningPoker!$F$9:$F$28,MATCH(A27,8_PlanningPoker!$A$9:$A$28,0))="","",INDEX(8_PlanningPoker!$F$9:$F$28,MATCH(A27,8_PlanningPoker!$A$9:$A$28,0))),"")</f>
        <v/>
      </c>
      <c r="F27" s="7" t="s">
        <v>429</v>
      </c>
      <c r="G27" s="8" t="s">
        <v>430</v>
      </c>
      <c r="H27" s="7"/>
      <c r="I27" s="7" t="s">
        <v>437</v>
      </c>
    </row>
    <row r="28" customFormat="false" ht="15" hidden="false" customHeight="false" outlineLevel="0" collapsed="false">
      <c r="A28" s="7" t="s">
        <v>438</v>
      </c>
      <c r="B28" s="7" t="s">
        <v>426</v>
      </c>
      <c r="C28" s="7" t="s">
        <v>427</v>
      </c>
      <c r="D28" s="7" t="s">
        <v>439</v>
      </c>
      <c r="E28" s="7" t="str">
        <f aca="false">IFERROR(IF(INDEX(8_PlanningPoker!$F$9:$F$28,MATCH(A28,8_PlanningPoker!$A$9:$A$28,0))="","",INDEX(8_PlanningPoker!$F$9:$F$28,MATCH(A28,8_PlanningPoker!$A$9:$A$28,0))),"")</f>
        <v/>
      </c>
      <c r="F28" s="7" t="s">
        <v>429</v>
      </c>
      <c r="G28" s="8" t="s">
        <v>430</v>
      </c>
      <c r="H28" s="7"/>
      <c r="I28" s="7" t="s">
        <v>440</v>
      </c>
    </row>
    <row r="29" customFormat="false" ht="15" hidden="false" customHeight="false" outlineLevel="0" collapsed="false">
      <c r="A29" s="7" t="s">
        <v>441</v>
      </c>
      <c r="B29" s="7" t="s">
        <v>426</v>
      </c>
      <c r="C29" s="7" t="s">
        <v>427</v>
      </c>
      <c r="D29" s="7" t="s">
        <v>442</v>
      </c>
      <c r="E29" s="7" t="str">
        <f aca="false">IFERROR(IF(INDEX(8_PlanningPoker!$F$9:$F$28,MATCH(A29,8_PlanningPoker!$A$9:$A$28,0))="","",INDEX(8_PlanningPoker!$F$9:$F$28,MATCH(A29,8_PlanningPoker!$A$9:$A$28,0))),"")</f>
        <v/>
      </c>
      <c r="F29" s="7" t="s">
        <v>429</v>
      </c>
      <c r="G29" s="8" t="s">
        <v>430</v>
      </c>
      <c r="H29" s="7"/>
      <c r="I29" s="7" t="s">
        <v>443</v>
      </c>
    </row>
    <row r="30" customFormat="false" ht="15" hidden="false" customHeight="false" outlineLevel="0" collapsed="false">
      <c r="A30" s="7" t="s">
        <v>444</v>
      </c>
      <c r="B30" s="7" t="s">
        <v>426</v>
      </c>
      <c r="C30" s="7" t="s">
        <v>427</v>
      </c>
      <c r="D30" s="7" t="s">
        <v>445</v>
      </c>
      <c r="E30" s="7" t="str">
        <f aca="false">IFERROR(IF(INDEX(8_PlanningPoker!$F$9:$F$28,MATCH(A30,8_PlanningPoker!$A$9:$A$28,0))="","",INDEX(8_PlanningPoker!$F$9:$F$28,MATCH(A30,8_PlanningPoker!$A$9:$A$28,0))),"")</f>
        <v/>
      </c>
      <c r="F30" s="7" t="s">
        <v>429</v>
      </c>
      <c r="G30" s="8" t="s">
        <v>430</v>
      </c>
      <c r="H30" s="7"/>
      <c r="I30" s="7" t="s">
        <v>446</v>
      </c>
    </row>
    <row r="31" customFormat="false" ht="15" hidden="false" customHeight="false" outlineLevel="0" collapsed="false">
      <c r="A31" s="7" t="s">
        <v>447</v>
      </c>
      <c r="B31" s="7" t="s">
        <v>426</v>
      </c>
      <c r="C31" s="7" t="s">
        <v>427</v>
      </c>
      <c r="D31" s="7" t="s">
        <v>448</v>
      </c>
      <c r="E31" s="7" t="str">
        <f aca="false">IFERROR(IF(INDEX(8_PlanningPoker!$F$9:$F$28,MATCH(A31,8_PlanningPoker!$A$9:$A$28,0))="","",INDEX(8_PlanningPoker!$F$9:$F$28,MATCH(A31,8_PlanningPoker!$A$9:$A$28,0))),"")</f>
        <v/>
      </c>
      <c r="F31" s="7" t="s">
        <v>429</v>
      </c>
      <c r="G31" s="8" t="s">
        <v>430</v>
      </c>
      <c r="H31" s="7"/>
      <c r="I31" s="7" t="s">
        <v>449</v>
      </c>
    </row>
    <row r="32" customFormat="false" ht="15" hidden="false" customHeight="false" outlineLevel="0" collapsed="false">
      <c r="A32" s="7" t="s">
        <v>450</v>
      </c>
      <c r="B32" s="7" t="s">
        <v>426</v>
      </c>
      <c r="C32" s="7" t="s">
        <v>427</v>
      </c>
      <c r="D32" s="7" t="s">
        <v>451</v>
      </c>
      <c r="E32" s="7" t="str">
        <f aca="false">IFERROR(IF(INDEX(8_PlanningPoker!$F$9:$F$28,MATCH(A32,8_PlanningPoker!$A$9:$A$28,0))="","",INDEX(8_PlanningPoker!$F$9:$F$28,MATCH(A32,8_PlanningPoker!$A$9:$A$28,0))),"")</f>
        <v/>
      </c>
      <c r="F32" s="7" t="s">
        <v>429</v>
      </c>
      <c r="G32" s="8" t="s">
        <v>430</v>
      </c>
      <c r="H32" s="7"/>
      <c r="I32" s="7" t="s">
        <v>452</v>
      </c>
    </row>
    <row r="33" customFormat="false" ht="15" hidden="false" customHeight="false" outlineLevel="0" collapsed="false">
      <c r="A33" s="7" t="s">
        <v>453</v>
      </c>
      <c r="B33" s="7" t="s">
        <v>426</v>
      </c>
      <c r="C33" s="7" t="s">
        <v>427</v>
      </c>
      <c r="D33" s="7" t="s">
        <v>454</v>
      </c>
      <c r="E33" s="7" t="str">
        <f aca="false">IFERROR(IF(INDEX(8_PlanningPoker!$F$9:$F$28,MATCH(A33,8_PlanningPoker!$A$9:$A$28,0))="","",INDEX(8_PlanningPoker!$F$9:$F$28,MATCH(A33,8_PlanningPoker!$A$9:$A$28,0))),"")</f>
        <v/>
      </c>
      <c r="F33" s="7" t="s">
        <v>429</v>
      </c>
      <c r="G33" s="8" t="s">
        <v>430</v>
      </c>
      <c r="H33" s="7"/>
      <c r="I33" s="7" t="s">
        <v>455</v>
      </c>
    </row>
    <row r="34" customFormat="false" ht="15" hidden="false" customHeight="false" outlineLevel="0" collapsed="false">
      <c r="A34" s="7" t="s">
        <v>456</v>
      </c>
      <c r="B34" s="7" t="s">
        <v>426</v>
      </c>
      <c r="C34" s="7" t="s">
        <v>427</v>
      </c>
      <c r="D34" s="7" t="s">
        <v>457</v>
      </c>
      <c r="E34" s="7" t="str">
        <f aca="false">IFERROR(IF(INDEX(8_PlanningPoker!$F$9:$F$28,MATCH(A34,8_PlanningPoker!$A$9:$A$28,0))="","",INDEX(8_PlanningPoker!$F$9:$F$28,MATCH(A34,8_PlanningPoker!$A$9:$A$28,0))),"")</f>
        <v/>
      </c>
      <c r="F34" s="7" t="s">
        <v>429</v>
      </c>
      <c r="G34" s="8" t="s">
        <v>430</v>
      </c>
      <c r="H34" s="7"/>
      <c r="I34" s="7" t="s">
        <v>458</v>
      </c>
    </row>
    <row r="36" customFormat="false" ht="15" hidden="false" customHeight="false" outlineLevel="0" collapsed="false">
      <c r="D36" s="23" t="s">
        <v>459</v>
      </c>
    </row>
    <row r="37" customFormat="false" ht="15" hidden="false" customHeight="false" outlineLevel="0" collapsed="false">
      <c r="D37" s="6" t="s">
        <v>16</v>
      </c>
      <c r="E37" s="6" t="s">
        <v>348</v>
      </c>
      <c r="F37" s="6" t="s">
        <v>460</v>
      </c>
    </row>
    <row r="38" customFormat="false" ht="15" hidden="false" customHeight="false" outlineLevel="0" collapsed="false">
      <c r="D38" s="7" t="s">
        <v>24</v>
      </c>
      <c r="E38" s="7" t="str">
        <f aca="false">IF(SUMPRODUCT(--($G$5:$G$34=D38),--($E$5:$E$34=""))&gt;0,"TBD",SUMIFS($E$5:$E$34,$G$5:$G$34,D38))</f>
        <v>TBD</v>
      </c>
      <c r="F38" s="7" t="n">
        <f aca="false">COUNTIFS($G$5:$G$34,D38)</f>
        <v>6</v>
      </c>
    </row>
    <row r="39" customFormat="false" ht="15" hidden="false" customHeight="false" outlineLevel="0" collapsed="false">
      <c r="D39" s="7" t="s">
        <v>32</v>
      </c>
      <c r="E39" s="7" t="str">
        <f aca="false">IF(SUMPRODUCT(--($G$5:$G$34=D39),--($E$5:$E$34=""))&gt;0,"TBD",SUMIFS($E$5:$E$34,$G$5:$G$34,D39))</f>
        <v>TBD</v>
      </c>
      <c r="F39" s="7" t="n">
        <f aca="false">COUNTIFS($G$5:$G$34,D39)</f>
        <v>8</v>
      </c>
    </row>
    <row r="40" customFormat="false" ht="15" hidden="false" customHeight="false" outlineLevel="0" collapsed="false">
      <c r="D40" s="7" t="s">
        <v>38</v>
      </c>
      <c r="E40" s="7" t="str">
        <f aca="false">IF(SUMPRODUCT(--($G$5:$G$34=D40),--($E$5:$E$34=""))&gt;0,"TBD",SUMIFS($E$5:$E$34,$G$5:$G$34,D40))</f>
        <v>TBD</v>
      </c>
      <c r="F40" s="7" t="n">
        <f aca="false">COUNTIFS($G$5:$G$34,D40)</f>
        <v>4</v>
      </c>
    </row>
    <row r="41" customFormat="false" ht="15" hidden="false" customHeight="false" outlineLevel="0" collapsed="false">
      <c r="D41" s="7" t="s">
        <v>420</v>
      </c>
      <c r="E41" s="7" t="str">
        <f aca="false">IF(SUMPRODUCT(--($G$5:$G$34=D41),--($E$5:$E$34=""))&gt;0,"TBD",SUMIFS($E$5:$E$34,$G$5:$G$34,D41))</f>
        <v>TBD</v>
      </c>
      <c r="F41" s="7" t="n">
        <f aca="false">COUNTIFS($G$5:$G$34,D41)</f>
        <v>2</v>
      </c>
    </row>
    <row r="42" customFormat="false" ht="15" hidden="false" customHeight="false" outlineLevel="0" collapsed="false">
      <c r="D42" s="7" t="s">
        <v>430</v>
      </c>
      <c r="E42" s="7" t="s">
        <v>426</v>
      </c>
      <c r="F42" s="7" t="n">
        <f aca="false">COUNTIFS($G$5:$G$34,D42)</f>
        <v>10</v>
      </c>
    </row>
    <row r="43" customFormat="false" ht="15" hidden="false" customHeight="false" outlineLevel="0" collapsed="false">
      <c r="D43" s="3" t="s">
        <v>461</v>
      </c>
      <c r="E43" s="3" t="str">
        <f aca="false">IF(COUNT(E38:E40)=3,SUM(E38:E40),"TBD")</f>
        <v>TBD</v>
      </c>
      <c r="F43" s="3" t="n">
        <f aca="false">SUM(F38:F40)</f>
        <v>18</v>
      </c>
    </row>
    <row r="44" customFormat="false" ht="15" hidden="false" customHeight="false" outlineLevel="0" collapsed="false">
      <c r="D44" s="3" t="s">
        <v>462</v>
      </c>
      <c r="F44" s="3" t="n">
        <f aca="false">COUNTA(A5:A34)</f>
        <v>30</v>
      </c>
      <c r="G44" s="3" t="str">
        <f aca="false">IF(F44&gt;=15,"Met","Not met")</f>
        <v>Met</v>
      </c>
    </row>
  </sheetData>
  <dataValidations count="1">
    <dataValidation allowBlank="true" errorStyle="stop" operator="between" showDropDown="false" showErrorMessage="false" showInputMessage="false" sqref="G5:G34" type="list">
      <formula1>"Sprint 1,Sprint 2,Sprint 3,CR-06,Future"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44"/>
    <col collapsed="false" customWidth="true" hidden="false" outlineLevel="0" max="4" min="4" style="0" width="52"/>
    <col collapsed="false" customWidth="true" hidden="false" outlineLevel="0" max="5" min="5" style="0" width="22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2" min="10" style="0" width="15"/>
  </cols>
  <sheetData>
    <row r="1" customFormat="false" ht="17.35" hidden="false" customHeight="false" outlineLevel="0" collapsed="false">
      <c r="A1" s="1" t="s">
        <v>463</v>
      </c>
    </row>
    <row r="2" customFormat="false" ht="15" hidden="false" customHeight="false" outlineLevel="0" collapsed="false">
      <c r="A2" s="2" t="s">
        <v>464</v>
      </c>
    </row>
    <row r="4" customFormat="false" ht="15" hidden="false" customHeight="false" outlineLevel="0" collapsed="false">
      <c r="A4" s="5" t="s">
        <v>465</v>
      </c>
    </row>
    <row r="5" customFormat="false" ht="15" hidden="false" customHeight="false" outlineLevel="0" collapsed="false">
      <c r="A5" s="7" t="s">
        <v>466</v>
      </c>
      <c r="B5" s="24" t="n">
        <v>2</v>
      </c>
      <c r="C5" s="7" t="s">
        <v>467</v>
      </c>
    </row>
    <row r="6" customFormat="false" ht="35.05" hidden="false" customHeight="false" outlineLevel="0" collapsed="false">
      <c r="A6" s="7" t="s">
        <v>468</v>
      </c>
      <c r="B6" s="25" t="n">
        <v>20</v>
      </c>
      <c r="C6" s="7" t="s">
        <v>469</v>
      </c>
    </row>
    <row r="7" customFormat="false" ht="15" hidden="false" customHeight="false" outlineLevel="0" collapsed="false">
      <c r="A7" s="7" t="s">
        <v>470</v>
      </c>
      <c r="B7" s="24" t="n">
        <v>3</v>
      </c>
      <c r="C7" s="7" t="s">
        <v>471</v>
      </c>
    </row>
    <row r="8" customFormat="false" ht="15" hidden="false" customHeight="false" outlineLevel="0" collapsed="false">
      <c r="A8" s="7" t="s">
        <v>472</v>
      </c>
      <c r="B8" s="24" t="n">
        <v>200000</v>
      </c>
      <c r="C8" s="7" t="s">
        <v>473</v>
      </c>
    </row>
    <row r="9" customFormat="false" ht="15" hidden="false" customHeight="false" outlineLevel="0" collapsed="false">
      <c r="A9" s="7" t="s">
        <v>474</v>
      </c>
      <c r="B9" s="22" t="n">
        <f aca="false">B5*B6</f>
        <v>40</v>
      </c>
      <c r="C9" s="7" t="s">
        <v>475</v>
      </c>
    </row>
    <row r="11" customFormat="false" ht="35.05" hidden="false" customHeight="false" outlineLevel="0" collapsed="false">
      <c r="A11" s="7" t="s">
        <v>476</v>
      </c>
      <c r="B11" s="22" t="str">
        <f aca="false">IF(ISNUMBER(B24),ROUND(B24/B7,1),"TBD")</f>
        <v>TBD</v>
      </c>
      <c r="C11" s="7" t="s">
        <v>477</v>
      </c>
    </row>
    <row r="13" customFormat="false" ht="15" hidden="false" customHeight="false" outlineLevel="0" collapsed="false">
      <c r="A13" s="5" t="s">
        <v>478</v>
      </c>
    </row>
    <row r="14" customFormat="false" ht="23.85" hidden="false" customHeight="false" outlineLevel="0" collapsed="false">
      <c r="A14" s="6" t="s">
        <v>16</v>
      </c>
      <c r="B14" s="6" t="s">
        <v>17</v>
      </c>
      <c r="C14" s="6" t="s">
        <v>479</v>
      </c>
      <c r="D14" s="6" t="s">
        <v>480</v>
      </c>
      <c r="E14" s="6" t="s">
        <v>481</v>
      </c>
      <c r="F14" s="6" t="s">
        <v>482</v>
      </c>
      <c r="G14" s="6" t="s">
        <v>483</v>
      </c>
      <c r="H14" s="6" t="s">
        <v>484</v>
      </c>
      <c r="I14" s="6" t="s">
        <v>485</v>
      </c>
      <c r="J14" s="6" t="s">
        <v>486</v>
      </c>
      <c r="K14" s="6" t="s">
        <v>487</v>
      </c>
      <c r="L14" s="6" t="s">
        <v>488</v>
      </c>
    </row>
    <row r="15" customFormat="false" ht="63.75" hidden="false" customHeight="true" outlineLevel="0" collapsed="false">
      <c r="A15" s="7" t="s">
        <v>24</v>
      </c>
      <c r="B15" s="7" t="s">
        <v>489</v>
      </c>
      <c r="C15" s="7" t="s">
        <v>26</v>
      </c>
      <c r="D15" s="7" t="str">
        <f aca="false">2_MasterSchedule!F5</f>
        <v>Sprint Goal: users can register, log in and log out; an administrator can create and lock accounts; non-admins are blocked from admin functions on the server (F1 on the hosted URL).</v>
      </c>
      <c r="E15" s="7" t="s">
        <v>490</v>
      </c>
      <c r="F15" s="7" t="str">
        <f aca="false">3_ItemAllocation!E38</f>
        <v>TBD</v>
      </c>
      <c r="G15" s="17" t="n">
        <f aca="false">$B$9</f>
        <v>40</v>
      </c>
      <c r="H15" s="17" t="n">
        <f aca="false">2_MasterSchedule!E5</f>
        <v>48</v>
      </c>
      <c r="I15" s="17" t="str">
        <f aca="false">IF(ISNUMBER(F15),IF(F15&gt;0,H15/F15,"TBD"),"TBD")</f>
        <v>TBD</v>
      </c>
      <c r="J15" s="26" t="n">
        <f aca="false">$B$23*1/$B$7</f>
        <v>8000000</v>
      </c>
      <c r="K15" s="7" t="str">
        <f aca="false">IF(AND(ISNUMBER(F15),ISNUMBER($B$11)),IF(F15&lt;=$B$11,"Within velocity","Over velocity"),"TBD")</f>
        <v>TBD</v>
      </c>
      <c r="L15" s="7" t="str">
        <f aca="false">IF(H15&lt;=G15,"Within capacity","Over capacity")</f>
        <v>Over capacity</v>
      </c>
    </row>
    <row r="16" customFormat="false" ht="63.75" hidden="false" customHeight="true" outlineLevel="0" collapsed="false">
      <c r="A16" s="7" t="s">
        <v>32</v>
      </c>
      <c r="B16" s="7" t="s">
        <v>491</v>
      </c>
      <c r="C16" s="7" t="s">
        <v>57</v>
      </c>
      <c r="D16" s="7" t="str">
        <f aca="false">2_MasterSchedule!F25</f>
        <v>Sprint Goal (proposal): admins manage books (hide, price &gt; 0), categories and authors; customers browse a responsive grid of ≥ 30 books, 12 per page, newest first; if CR-06 is approved, Staff gets 403 on delete and account management.</v>
      </c>
      <c r="E16" s="7" t="s">
        <v>492</v>
      </c>
      <c r="F16" s="7" t="str">
        <f aca="false">3_ItemAllocation!E39</f>
        <v>TBD</v>
      </c>
      <c r="G16" s="17" t="n">
        <f aca="false">$B$9</f>
        <v>40</v>
      </c>
      <c r="H16" s="17" t="n">
        <f aca="false">2_MasterSchedule!E25</f>
        <v>39.75</v>
      </c>
      <c r="I16" s="17" t="str">
        <f aca="false">IF(ISNUMBER(F16),IF(F16&gt;0,H16/F16,"TBD"),"TBD")</f>
        <v>TBD</v>
      </c>
      <c r="J16" s="26" t="n">
        <f aca="false">$B$23*2/$B$7</f>
        <v>16000000</v>
      </c>
      <c r="K16" s="7" t="str">
        <f aca="false">IF(AND(ISNUMBER(F16),ISNUMBER($B$11)),IF(F16&lt;=$B$11,"Within velocity","Over velocity"),"TBD")</f>
        <v>TBD</v>
      </c>
      <c r="L16" s="7" t="str">
        <f aca="false">IF(H16&lt;=G16,"Within capacity","Over capacity")</f>
        <v>Within capacity</v>
      </c>
    </row>
    <row r="17" customFormat="false" ht="63.75" hidden="false" customHeight="true" outlineLevel="0" collapsed="false">
      <c r="A17" s="7" t="s">
        <v>38</v>
      </c>
      <c r="B17" s="7" t="s">
        <v>493</v>
      </c>
      <c r="C17" s="7" t="s">
        <v>26</v>
      </c>
      <c r="D17" s="7" t="str">
        <f aca="false">2_MasterSchedule!F54</f>
        <v>Sprint Goal (proposal): customers open book details and search/filter by title, author, category and price range together with pagination; F1–F3 pass regression; v1.0 tagged and ready for UAT.</v>
      </c>
      <c r="E17" s="7" t="s">
        <v>494</v>
      </c>
      <c r="F17" s="7" t="str">
        <f aca="false">3_ItemAllocation!E40</f>
        <v>TBD</v>
      </c>
      <c r="G17" s="17" t="n">
        <f aca="false">$B$9</f>
        <v>40</v>
      </c>
      <c r="H17" s="17" t="n">
        <f aca="false">2_MasterSchedule!E54</f>
        <v>35.5</v>
      </c>
      <c r="I17" s="17" t="str">
        <f aca="false">IF(ISNUMBER(F17),IF(F17&gt;0,H17/F17,"TBD"),"TBD")</f>
        <v>TBD</v>
      </c>
      <c r="J17" s="26" t="n">
        <f aca="false">$B$23*3/$B$7</f>
        <v>24000000</v>
      </c>
      <c r="K17" s="7" t="str">
        <f aca="false">IF(AND(ISNUMBER(F17),ISNUMBER($B$11)),IF(F17&lt;=$B$11,"Within velocity","Over velocity"),"TBD")</f>
        <v>TBD</v>
      </c>
      <c r="L17" s="7" t="str">
        <f aca="false">IF(H17&lt;=G17,"Within capacity","Over capacity")</f>
        <v>Within capacity</v>
      </c>
    </row>
    <row r="18" customFormat="false" ht="15" hidden="false" customHeight="false" outlineLevel="0" collapsed="false">
      <c r="A18" s="3" t="s">
        <v>495</v>
      </c>
      <c r="F18" s="3" t="str">
        <f aca="false">IF(COUNT(F15:F17)=3,SUM(F15:F17),"TBD")</f>
        <v>TBD</v>
      </c>
      <c r="G18" s="22" t="n">
        <f aca="false">SUM(G15:G17)</f>
        <v>120</v>
      </c>
      <c r="H18" s="22" t="n">
        <f aca="false">SUM(H15:H17)</f>
        <v>123.25</v>
      </c>
    </row>
    <row r="19" customFormat="false" ht="15" hidden="false" customHeight="false" outlineLevel="0" collapsed="false">
      <c r="A19" s="2" t="s">
        <v>496</v>
      </c>
    </row>
    <row r="21" customFormat="false" ht="15" hidden="false" customHeight="false" outlineLevel="0" collapsed="false">
      <c r="A21" s="5" t="s">
        <v>497</v>
      </c>
    </row>
    <row r="22" customFormat="false" ht="15" hidden="false" customHeight="false" outlineLevel="0" collapsed="false">
      <c r="A22" s="6" t="s">
        <v>498</v>
      </c>
      <c r="B22" s="6" t="s">
        <v>499</v>
      </c>
      <c r="C22" s="6" t="s">
        <v>500</v>
      </c>
    </row>
    <row r="23" customFormat="false" ht="23.85" hidden="false" customHeight="false" outlineLevel="0" collapsed="false">
      <c r="A23" s="7" t="s">
        <v>501</v>
      </c>
      <c r="B23" s="27" t="n">
        <f aca="false">B9*B7*B8</f>
        <v>24000000</v>
      </c>
      <c r="C23" s="7" t="s">
        <v>502</v>
      </c>
    </row>
    <row r="24" customFormat="false" ht="15" hidden="false" customHeight="false" outlineLevel="0" collapsed="false">
      <c r="A24" s="7" t="s">
        <v>503</v>
      </c>
      <c r="B24" s="3" t="str">
        <f aca="false">F18</f>
        <v>TBD</v>
      </c>
      <c r="C24" s="7" t="s">
        <v>504</v>
      </c>
    </row>
    <row r="25" customFormat="false" ht="15" hidden="false" customHeight="false" outlineLevel="0" collapsed="false">
      <c r="A25" s="7" t="s">
        <v>505</v>
      </c>
      <c r="B25" s="7" t="str">
        <f aca="false">IF(B24=3_ItemAllocation!E43,"Match","Mismatch")</f>
        <v>Match</v>
      </c>
    </row>
    <row r="26" customFormat="false" ht="23.85" hidden="false" customHeight="false" outlineLevel="0" collapsed="false">
      <c r="A26" s="7" t="s">
        <v>506</v>
      </c>
      <c r="B26" s="17" t="n">
        <f aca="false">H18</f>
        <v>123.25</v>
      </c>
      <c r="C26" s="7" t="s">
        <v>507</v>
      </c>
    </row>
    <row r="27" customFormat="false" ht="15" hidden="false" customHeight="false" outlineLevel="0" collapsed="false">
      <c r="A27" s="7" t="s">
        <v>508</v>
      </c>
      <c r="B27" s="17" t="n">
        <f aca="false">2_MasterSchedule!E87</f>
        <v>18</v>
      </c>
      <c r="C27" s="7" t="s">
        <v>509</v>
      </c>
    </row>
    <row r="29" customFormat="false" ht="15" hidden="false" customHeight="false" outlineLevel="0" collapsed="false">
      <c r="A29" s="5" t="s">
        <v>510</v>
      </c>
    </row>
    <row r="30" customFormat="false" ht="15" hidden="false" customHeight="false" outlineLevel="0" collapsed="false">
      <c r="A30" s="6" t="s">
        <v>69</v>
      </c>
      <c r="B30" s="6" t="s">
        <v>499</v>
      </c>
      <c r="C30" s="6" t="s">
        <v>511</v>
      </c>
    </row>
    <row r="31" customFormat="false" ht="23.85" hidden="false" customHeight="false" outlineLevel="0" collapsed="false">
      <c r="A31" s="7" t="s">
        <v>512</v>
      </c>
      <c r="B31" s="8" t="s">
        <v>77</v>
      </c>
      <c r="C31" s="7" t="s">
        <v>513</v>
      </c>
    </row>
    <row r="32" customFormat="false" ht="23.85" hidden="false" customHeight="false" outlineLevel="0" collapsed="false">
      <c r="A32" s="7" t="s">
        <v>514</v>
      </c>
      <c r="B32" s="28" t="n">
        <v>12</v>
      </c>
      <c r="C32" s="7" t="s">
        <v>515</v>
      </c>
    </row>
    <row r="33" customFormat="false" ht="15" hidden="false" customHeight="false" outlineLevel="0" collapsed="false">
      <c r="A33" s="7" t="s">
        <v>516</v>
      </c>
      <c r="B33" s="27" t="str">
        <f aca="false">IF(B31="Approved",B23+B32*B8,"n/a")</f>
        <v>n/a</v>
      </c>
      <c r="C33" s="7" t="s">
        <v>517</v>
      </c>
    </row>
    <row r="34" customFormat="false" ht="15" hidden="false" customHeight="false" outlineLevel="0" collapsed="false">
      <c r="A34" s="7" t="s">
        <v>518</v>
      </c>
      <c r="B34" s="3" t="str">
        <f aca="false">IF(B31="Approved",IF(AND(ISNUMBER(B24),ISNUMBER(3_ItemAllocation!E41)),B24+3_ItemAllocation!E41,"TBD"),"n/a")</f>
        <v>n/a</v>
      </c>
    </row>
    <row r="36" customFormat="false" ht="15" hidden="false" customHeight="false" outlineLevel="0" collapsed="false">
      <c r="A36" s="2" t="s">
        <v>519</v>
      </c>
    </row>
  </sheetData>
  <dataValidations count="1">
    <dataValidation allowBlank="false" errorStyle="stop" operator="between" showDropDown="false" showErrorMessage="false" showInputMessage="false" sqref="B31" type="list">
      <formula1>"Pending,Approved,Rejected,Deferred"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26"/>
    <col collapsed="false" customWidth="true" hidden="false" outlineLevel="0" max="4" min="4" style="0" width="48"/>
  </cols>
  <sheetData>
    <row r="1" customFormat="false" ht="17.35" hidden="false" customHeight="false" outlineLevel="0" collapsed="false">
      <c r="A1" s="1" t="s">
        <v>520</v>
      </c>
    </row>
    <row r="2" customFormat="false" ht="15" hidden="false" customHeight="false" outlineLevel="0" collapsed="false">
      <c r="A2" s="2" t="s">
        <v>521</v>
      </c>
    </row>
    <row r="4" customFormat="false" ht="15" hidden="false" customHeight="false" outlineLevel="0" collapsed="false">
      <c r="A4" s="6" t="s">
        <v>69</v>
      </c>
      <c r="B4" s="6" t="s">
        <v>26</v>
      </c>
      <c r="C4" s="6" t="s">
        <v>27</v>
      </c>
      <c r="D4" s="6" t="s">
        <v>522</v>
      </c>
    </row>
    <row r="5" customFormat="false" ht="23.85" hidden="false" customHeight="false" outlineLevel="0" collapsed="false">
      <c r="A5" s="7" t="s">
        <v>523</v>
      </c>
      <c r="B5" s="7" t="s">
        <v>524</v>
      </c>
      <c r="C5" s="7" t="s">
        <v>525</v>
      </c>
      <c r="D5" s="7" t="s">
        <v>526</v>
      </c>
    </row>
    <row r="6" customFormat="false" ht="15" hidden="false" customHeight="false" outlineLevel="0" collapsed="false">
      <c r="A6" s="7" t="s">
        <v>527</v>
      </c>
      <c r="B6" s="7" t="s">
        <v>528</v>
      </c>
      <c r="C6" s="7" t="s">
        <v>529</v>
      </c>
      <c r="D6" s="7" t="s">
        <v>530</v>
      </c>
    </row>
    <row r="7" customFormat="false" ht="15" hidden="false" customHeight="false" outlineLevel="0" collapsed="false">
      <c r="A7" s="7" t="s">
        <v>531</v>
      </c>
      <c r="B7" s="7" t="s">
        <v>529</v>
      </c>
      <c r="C7" s="7" t="s">
        <v>528</v>
      </c>
      <c r="D7" s="7" t="s">
        <v>532</v>
      </c>
    </row>
    <row r="8" customFormat="false" ht="15" hidden="false" customHeight="false" outlineLevel="0" collapsed="false">
      <c r="A8" s="7" t="s">
        <v>533</v>
      </c>
      <c r="B8" s="7" t="s">
        <v>528</v>
      </c>
      <c r="C8" s="7" t="s">
        <v>529</v>
      </c>
      <c r="D8" s="7" t="s">
        <v>534</v>
      </c>
    </row>
    <row r="9" customFormat="false" ht="15" hidden="false" customHeight="false" outlineLevel="0" collapsed="false">
      <c r="A9" s="7" t="s">
        <v>535</v>
      </c>
      <c r="B9" s="7" t="s">
        <v>528</v>
      </c>
      <c r="C9" s="7" t="s">
        <v>529</v>
      </c>
      <c r="D9" s="7" t="s">
        <v>536</v>
      </c>
    </row>
    <row r="10" customFormat="false" ht="15" hidden="false" customHeight="false" outlineLevel="0" collapsed="false">
      <c r="A10" s="7" t="s">
        <v>537</v>
      </c>
      <c r="B10" s="7" t="s">
        <v>529</v>
      </c>
      <c r="C10" s="7" t="s">
        <v>528</v>
      </c>
      <c r="D10" s="7" t="s">
        <v>538</v>
      </c>
    </row>
    <row r="11" customFormat="false" ht="15" hidden="false" customHeight="false" outlineLevel="0" collapsed="false">
      <c r="A11" s="7" t="s">
        <v>539</v>
      </c>
      <c r="B11" s="7" t="s">
        <v>529</v>
      </c>
      <c r="C11" s="7" t="s">
        <v>528</v>
      </c>
      <c r="D11" s="7" t="s">
        <v>540</v>
      </c>
    </row>
    <row r="12" customFormat="false" ht="15" hidden="false" customHeight="false" outlineLevel="0" collapsed="false">
      <c r="A12" s="7" t="s">
        <v>541</v>
      </c>
      <c r="B12" s="7" t="s">
        <v>529</v>
      </c>
      <c r="C12" s="7" t="s">
        <v>528</v>
      </c>
      <c r="D12" s="7" t="s">
        <v>542</v>
      </c>
    </row>
    <row r="13" customFormat="false" ht="15" hidden="false" customHeight="false" outlineLevel="0" collapsed="false">
      <c r="A13" s="7" t="s">
        <v>543</v>
      </c>
      <c r="B13" s="7" t="s">
        <v>528</v>
      </c>
      <c r="C13" s="7" t="s">
        <v>529</v>
      </c>
      <c r="D13" s="7" t="s">
        <v>544</v>
      </c>
    </row>
    <row r="14" customFormat="false" ht="15" hidden="false" customHeight="false" outlineLevel="0" collapsed="false">
      <c r="A14" s="7" t="s">
        <v>545</v>
      </c>
      <c r="B14" s="7" t="s">
        <v>546</v>
      </c>
      <c r="C14" s="7" t="s">
        <v>529</v>
      </c>
      <c r="D14" s="7" t="s">
        <v>547</v>
      </c>
    </row>
    <row r="15" customFormat="false" ht="15" hidden="false" customHeight="false" outlineLevel="0" collapsed="false">
      <c r="A15" s="7" t="s">
        <v>548</v>
      </c>
      <c r="B15" s="7" t="s">
        <v>549</v>
      </c>
      <c r="C15" s="7" t="s">
        <v>550</v>
      </c>
      <c r="D15" s="7" t="s">
        <v>551</v>
      </c>
    </row>
    <row r="16" customFormat="false" ht="15" hidden="false" customHeight="false" outlineLevel="0" collapsed="false">
      <c r="A16" s="7" t="s">
        <v>552</v>
      </c>
      <c r="B16" s="7" t="s">
        <v>553</v>
      </c>
      <c r="C16" s="7" t="s">
        <v>554</v>
      </c>
      <c r="D16" s="7" t="s">
        <v>555</v>
      </c>
    </row>
    <row r="17" customFormat="false" ht="15" hidden="false" customHeight="false" outlineLevel="0" collapsed="false">
      <c r="A17" s="7" t="s">
        <v>556</v>
      </c>
      <c r="B17" s="7" t="s">
        <v>557</v>
      </c>
      <c r="C17" s="7" t="s">
        <v>529</v>
      </c>
      <c r="D17" s="7" t="s">
        <v>558</v>
      </c>
    </row>
    <row r="18" customFormat="false" ht="23.85" hidden="false" customHeight="false" outlineLevel="0" collapsed="false">
      <c r="A18" s="7" t="s">
        <v>559</v>
      </c>
      <c r="B18" s="7" t="s">
        <v>560</v>
      </c>
      <c r="C18" s="7" t="s">
        <v>561</v>
      </c>
      <c r="D18" s="7" t="s">
        <v>562</v>
      </c>
    </row>
    <row r="19" customFormat="false" ht="15" hidden="false" customHeight="false" outlineLevel="0" collapsed="false">
      <c r="A19" s="7" t="s">
        <v>563</v>
      </c>
      <c r="B19" s="7" t="s">
        <v>528</v>
      </c>
      <c r="C19" s="7" t="s">
        <v>529</v>
      </c>
      <c r="D19" s="7" t="s">
        <v>564</v>
      </c>
    </row>
    <row r="20" customFormat="false" ht="15" hidden="false" customHeight="false" outlineLevel="0" collapsed="false">
      <c r="A20" s="7" t="s">
        <v>565</v>
      </c>
      <c r="B20" s="7" t="s">
        <v>566</v>
      </c>
      <c r="C20" s="7" t="s">
        <v>528</v>
      </c>
      <c r="D20" s="7" t="s">
        <v>567</v>
      </c>
    </row>
    <row r="21" customFormat="false" ht="15" hidden="false" customHeight="false" outlineLevel="0" collapsed="false">
      <c r="A21" s="7" t="s">
        <v>568</v>
      </c>
      <c r="B21" s="7" t="s">
        <v>569</v>
      </c>
      <c r="C21" s="7" t="s">
        <v>570</v>
      </c>
      <c r="D21" s="7" t="s">
        <v>571</v>
      </c>
    </row>
    <row r="22" customFormat="false" ht="15" hidden="false" customHeight="false" outlineLevel="0" collapsed="false">
      <c r="A22" s="7" t="s">
        <v>572</v>
      </c>
      <c r="B22" s="7" t="s">
        <v>546</v>
      </c>
      <c r="C22" s="7" t="s">
        <v>529</v>
      </c>
      <c r="D22" s="7" t="s">
        <v>573</v>
      </c>
    </row>
    <row r="23" customFormat="false" ht="15" hidden="false" customHeight="false" outlineLevel="0" collapsed="false">
      <c r="A23" s="7" t="s">
        <v>574</v>
      </c>
      <c r="B23" s="7" t="s">
        <v>575</v>
      </c>
      <c r="C23" s="7" t="s">
        <v>32</v>
      </c>
      <c r="D23" s="7" t="s">
        <v>576</v>
      </c>
    </row>
    <row r="25" customFormat="false" ht="15" hidden="false" customHeight="false" outlineLevel="0" collapsed="false">
      <c r="A25" s="5" t="s">
        <v>577</v>
      </c>
    </row>
    <row r="26" customFormat="false" ht="15" hidden="false" customHeight="false" outlineLevel="0" collapsed="false">
      <c r="A26" s="6" t="s">
        <v>578</v>
      </c>
      <c r="B26" s="6" t="s">
        <v>24</v>
      </c>
      <c r="C26" s="6" t="s">
        <v>32</v>
      </c>
      <c r="D26" s="6" t="s">
        <v>38</v>
      </c>
      <c r="E26" s="6" t="s">
        <v>579</v>
      </c>
    </row>
    <row r="27" customFormat="false" ht="15" hidden="false" customHeight="false" outlineLevel="0" collapsed="false">
      <c r="A27" s="7" t="s">
        <v>26</v>
      </c>
      <c r="B27" s="7" t="n">
        <f aca="false">SUMIFS(3_ItemAllocation!$E$5:$E$34,3_ItemAllocation!$H$5:$H$34,$A27,3_ItemAllocation!$G$5:$G$34,"Sprint 1")</f>
        <v>0</v>
      </c>
      <c r="C27" s="7" t="n">
        <f aca="false">SUMIFS(3_ItemAllocation!$E$5:$E$34,3_ItemAllocation!$H$5:$H$34,$A27,3_ItemAllocation!$G$5:$G$34,"Sprint 2")</f>
        <v>0</v>
      </c>
      <c r="D27" s="7" t="n">
        <f aca="false">SUMIFS(3_ItemAllocation!$E$5:$E$34,3_ItemAllocation!$H$5:$H$34,$A27,3_ItemAllocation!$G$5:$G$34,"Sprint 3")</f>
        <v>0</v>
      </c>
      <c r="E27" s="7" t="n">
        <f aca="false">SUM(B27:D27)</f>
        <v>0</v>
      </c>
    </row>
    <row r="28" customFormat="false" ht="15" hidden="false" customHeight="false" outlineLevel="0" collapsed="false">
      <c r="A28" s="7" t="s">
        <v>27</v>
      </c>
      <c r="B28" s="7" t="n">
        <f aca="false">SUMIFS(3_ItemAllocation!$E$5:$E$34,3_ItemAllocation!$H$5:$H$34,$A28,3_ItemAllocation!$G$5:$G$34,"Sprint 1")</f>
        <v>0</v>
      </c>
      <c r="C28" s="7" t="n">
        <f aca="false">SUMIFS(3_ItemAllocation!$E$5:$E$34,3_ItemAllocation!$H$5:$H$34,$A28,3_ItemAllocation!$G$5:$G$34,"Sprint 2")</f>
        <v>0</v>
      </c>
      <c r="D28" s="7" t="n">
        <f aca="false">SUMIFS(3_ItemAllocation!$E$5:$E$34,3_ItemAllocation!$H$5:$H$34,$A28,3_ItemAllocation!$G$5:$G$34,"Sprint 3")</f>
        <v>0</v>
      </c>
      <c r="E28" s="7" t="n">
        <f aca="false">SUM(B28:D28)</f>
        <v>0</v>
      </c>
    </row>
    <row r="30" customFormat="false" ht="15" hidden="false" customHeight="false" outlineLevel="0" collapsed="false">
      <c r="A30" s="5" t="s">
        <v>580</v>
      </c>
    </row>
    <row r="31" customFormat="false" ht="15" hidden="false" customHeight="false" outlineLevel="0" collapsed="false">
      <c r="A31" s="6" t="s">
        <v>578</v>
      </c>
      <c r="B31" s="6" t="s">
        <v>24</v>
      </c>
      <c r="C31" s="6" t="s">
        <v>32</v>
      </c>
      <c r="D31" s="6" t="s">
        <v>38</v>
      </c>
      <c r="E31" s="6" t="s">
        <v>44</v>
      </c>
    </row>
    <row r="32" customFormat="false" ht="15" hidden="false" customHeight="false" outlineLevel="0" collapsed="false">
      <c r="A32" s="7" t="s">
        <v>26</v>
      </c>
      <c r="B32" s="17" t="n">
        <f aca="false">SUMIFS(2_MasterSchedule!$E$5:$E$84,2_MasterSchedule!$D$5:$D$84,$A32,2_MasterSchedule!$B$5:$B$84,"Sprint 1")+SUMIFS(2_MasterSchedule!$E$5:$E$84,2_MasterSchedule!$D$5:$D$84,"Both",2_MasterSchedule!$B$5:$B$84,"Sprint 1")/2</f>
        <v>24</v>
      </c>
      <c r="C32" s="17" t="n">
        <f aca="false">SUMIFS(2_MasterSchedule!$E$5:$E$84,2_MasterSchedule!$D$5:$D$84,$A32,2_MasterSchedule!$B$5:$B$84,"Sprint 2")+SUMIFS(2_MasterSchedule!$E$5:$E$84,2_MasterSchedule!$D$5:$D$84,"Both",2_MasterSchedule!$B$5:$B$84,"Sprint 2")/2</f>
        <v>19.75</v>
      </c>
      <c r="D32" s="17" t="n">
        <f aca="false">SUMIFS(2_MasterSchedule!$E$5:$E$84,2_MasterSchedule!$D$5:$D$84,$A32,2_MasterSchedule!$B$5:$B$84,"Sprint 3")+SUMIFS(2_MasterSchedule!$E$5:$E$84,2_MasterSchedule!$D$5:$D$84,"Both",2_MasterSchedule!$B$5:$B$84,"Sprint 3")/2</f>
        <v>18.25</v>
      </c>
      <c r="E32" s="17" t="n">
        <f aca="false">SUMIFS(2_MasterSchedule!$E$5:$E$84,2_MasterSchedule!$D$5:$D$84,$A32,2_MasterSchedule!$B$5:$B$84,"Closure")+SUMIFS(2_MasterSchedule!$E$5:$E$84,2_MasterSchedule!$D$5:$D$84,"Both",2_MasterSchedule!$B$5:$B$84,"Closure")/2</f>
        <v>9.5</v>
      </c>
    </row>
    <row r="33" customFormat="false" ht="15" hidden="false" customHeight="false" outlineLevel="0" collapsed="false">
      <c r="A33" s="7" t="s">
        <v>27</v>
      </c>
      <c r="B33" s="17" t="n">
        <f aca="false">SUMIFS(2_MasterSchedule!$E$5:$E$84,2_MasterSchedule!$D$5:$D$84,$A33,2_MasterSchedule!$B$5:$B$84,"Sprint 1")+SUMIFS(2_MasterSchedule!$E$5:$E$84,2_MasterSchedule!$D$5:$D$84,"Both",2_MasterSchedule!$B$5:$B$84,"Sprint 1")/2</f>
        <v>24</v>
      </c>
      <c r="C33" s="17" t="n">
        <f aca="false">SUMIFS(2_MasterSchedule!$E$5:$E$84,2_MasterSchedule!$D$5:$D$84,$A33,2_MasterSchedule!$B$5:$B$84,"Sprint 2")+SUMIFS(2_MasterSchedule!$E$5:$E$84,2_MasterSchedule!$D$5:$D$84,"Both",2_MasterSchedule!$B$5:$B$84,"Sprint 2")/2</f>
        <v>20</v>
      </c>
      <c r="D33" s="17" t="n">
        <f aca="false">SUMIFS(2_MasterSchedule!$E$5:$E$84,2_MasterSchedule!$D$5:$D$84,$A33,2_MasterSchedule!$B$5:$B$84,"Sprint 3")+SUMIFS(2_MasterSchedule!$E$5:$E$84,2_MasterSchedule!$D$5:$D$84,"Both",2_MasterSchedule!$B$5:$B$84,"Sprint 3")/2</f>
        <v>17.25</v>
      </c>
      <c r="E33" s="17" t="n">
        <f aca="false">SUMIFS(2_MasterSchedule!$E$5:$E$84,2_MasterSchedule!$D$5:$D$84,$A33,2_MasterSchedule!$B$5:$B$84,"Closure")+SUMIFS(2_MasterSchedule!$E$5:$E$84,2_MasterSchedule!$D$5:$D$84,"Both",2_MasterSchedule!$B$5:$B$84,"Closure")/2</f>
        <v>8.5</v>
      </c>
    </row>
    <row r="34" customFormat="false" ht="15" hidden="false" customHeight="false" outlineLevel="0" collapsed="false">
      <c r="A34" s="7" t="s">
        <v>581</v>
      </c>
      <c r="B34" s="17" t="n">
        <f aca="false">4_ReleasePlan!$B$6</f>
        <v>20</v>
      </c>
      <c r="C34" s="17" t="n">
        <f aca="false">4_ReleasePlan!$B$6</f>
        <v>20</v>
      </c>
      <c r="D34" s="17" t="n">
        <f aca="false">4_ReleasePlan!$B$6</f>
        <v>20</v>
      </c>
    </row>
    <row r="35" customFormat="false" ht="15" hidden="false" customHeight="false" outlineLevel="0" collapsed="false">
      <c r="A35" s="7" t="str">
        <f aca="false">A32&amp;" – check"</f>
        <v>Hồ Du Tuấn Đạt – check</v>
      </c>
      <c r="B35" s="7" t="str">
        <f aca="false">IF(B32&lt;=B34,"OK","Over capacity")</f>
        <v>Over capacity</v>
      </c>
      <c r="C35" s="7" t="str">
        <f aca="false">IF(C32&lt;=C34,"OK","Over capacity")</f>
        <v>OK</v>
      </c>
      <c r="D35" s="7" t="str">
        <f aca="false">IF(D32&lt;=D34,"OK","Over capacity")</f>
        <v>OK</v>
      </c>
    </row>
    <row r="36" customFormat="false" ht="15" hidden="false" customHeight="false" outlineLevel="0" collapsed="false">
      <c r="A36" s="7" t="str">
        <f aca="false">A33&amp;" – check"</f>
        <v>Nguyễn Minh Chính – check</v>
      </c>
      <c r="B36" s="7" t="str">
        <f aca="false">IF(B33&lt;=B34,"OK","Over capacity")</f>
        <v>Over capacity</v>
      </c>
      <c r="C36" s="7" t="str">
        <f aca="false">IF(C33&lt;=C34,"OK","Over capacity")</f>
        <v>OK</v>
      </c>
      <c r="D36" s="7" t="str">
        <f aca="false">IF(D33&lt;=D34,"OK","Over capacity")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50"/>
    <col collapsed="false" customWidth="true" hidden="false" outlineLevel="0" max="5" min="5" style="0" width="58"/>
    <col collapsed="false" customWidth="true" hidden="false" outlineLevel="0" max="6" min="6" style="0" width="11"/>
  </cols>
  <sheetData>
    <row r="1" customFormat="false" ht="17.35" hidden="false" customHeight="false" outlineLevel="0" collapsed="false">
      <c r="A1" s="1" t="s">
        <v>582</v>
      </c>
    </row>
    <row r="2" customFormat="false" ht="15" hidden="false" customHeight="false" outlineLevel="0" collapsed="false">
      <c r="A2" s="2" t="s">
        <v>583</v>
      </c>
    </row>
    <row r="4" customFormat="false" ht="15" hidden="false" customHeight="false" outlineLevel="0" collapsed="false">
      <c r="A4" s="6" t="s">
        <v>584</v>
      </c>
      <c r="B4" s="6" t="s">
        <v>585</v>
      </c>
      <c r="C4" s="6" t="s">
        <v>586</v>
      </c>
      <c r="D4" s="6" t="s">
        <v>587</v>
      </c>
      <c r="E4" s="6" t="s">
        <v>588</v>
      </c>
      <c r="F4" s="6" t="s">
        <v>589</v>
      </c>
    </row>
    <row r="5" customFormat="false" ht="15" hidden="false" customHeight="false" outlineLevel="0" collapsed="false">
      <c r="A5" s="7" t="s">
        <v>590</v>
      </c>
      <c r="B5" s="7" t="s">
        <v>591</v>
      </c>
      <c r="C5" s="7" t="s">
        <v>27</v>
      </c>
      <c r="D5" s="7" t="s">
        <v>592</v>
      </c>
      <c r="E5" s="7" t="s">
        <v>593</v>
      </c>
      <c r="F5" s="8" t="s">
        <v>594</v>
      </c>
    </row>
    <row r="6" customFormat="false" ht="15" hidden="false" customHeight="false" outlineLevel="0" collapsed="false">
      <c r="A6" s="7" t="s">
        <v>24</v>
      </c>
      <c r="B6" s="7" t="s">
        <v>595</v>
      </c>
      <c r="C6" s="7" t="s">
        <v>26</v>
      </c>
      <c r="D6" s="7" t="s">
        <v>596</v>
      </c>
      <c r="E6" s="7" t="s">
        <v>597</v>
      </c>
      <c r="F6" s="8" t="s">
        <v>594</v>
      </c>
    </row>
    <row r="7" customFormat="false" ht="23.85" hidden="false" customHeight="false" outlineLevel="0" collapsed="false">
      <c r="A7" s="7" t="s">
        <v>24</v>
      </c>
      <c r="B7" s="7" t="s">
        <v>595</v>
      </c>
      <c r="C7" s="7" t="s">
        <v>26</v>
      </c>
      <c r="D7" s="7" t="s">
        <v>598</v>
      </c>
      <c r="E7" s="7" t="s">
        <v>599</v>
      </c>
      <c r="F7" s="8" t="s">
        <v>594</v>
      </c>
    </row>
    <row r="8" customFormat="false" ht="15" hidden="false" customHeight="false" outlineLevel="0" collapsed="false">
      <c r="A8" s="7" t="s">
        <v>24</v>
      </c>
      <c r="B8" s="7" t="s">
        <v>595</v>
      </c>
      <c r="C8" s="7" t="s">
        <v>26</v>
      </c>
      <c r="D8" s="7" t="s">
        <v>600</v>
      </c>
      <c r="E8" s="7" t="s">
        <v>601</v>
      </c>
      <c r="F8" s="8" t="s">
        <v>594</v>
      </c>
    </row>
    <row r="9" customFormat="false" ht="15" hidden="false" customHeight="false" outlineLevel="0" collapsed="false">
      <c r="A9" s="7" t="s">
        <v>24</v>
      </c>
      <c r="B9" s="7" t="s">
        <v>595</v>
      </c>
      <c r="C9" s="7" t="s">
        <v>26</v>
      </c>
      <c r="D9" s="7" t="s">
        <v>602</v>
      </c>
      <c r="E9" s="7" t="s">
        <v>603</v>
      </c>
      <c r="F9" s="8" t="s">
        <v>594</v>
      </c>
    </row>
    <row r="10" customFormat="false" ht="15" hidden="false" customHeight="false" outlineLevel="0" collapsed="false">
      <c r="A10" s="7" t="s">
        <v>32</v>
      </c>
      <c r="B10" s="7" t="s">
        <v>604</v>
      </c>
      <c r="C10" s="7" t="s">
        <v>27</v>
      </c>
      <c r="D10" s="7" t="s">
        <v>605</v>
      </c>
      <c r="E10" s="7" t="s">
        <v>606</v>
      </c>
      <c r="F10" s="8" t="s">
        <v>594</v>
      </c>
    </row>
    <row r="11" customFormat="false" ht="15" hidden="false" customHeight="false" outlineLevel="0" collapsed="false">
      <c r="A11" s="7" t="s">
        <v>32</v>
      </c>
      <c r="B11" s="7" t="s">
        <v>604</v>
      </c>
      <c r="C11" s="7" t="s">
        <v>27</v>
      </c>
      <c r="D11" s="7" t="s">
        <v>607</v>
      </c>
      <c r="E11" s="7" t="s">
        <v>608</v>
      </c>
      <c r="F11" s="8" t="s">
        <v>594</v>
      </c>
    </row>
    <row r="12" customFormat="false" ht="23.85" hidden="false" customHeight="false" outlineLevel="0" collapsed="false">
      <c r="A12" s="7" t="s">
        <v>32</v>
      </c>
      <c r="B12" s="7" t="s">
        <v>604</v>
      </c>
      <c r="C12" s="7" t="s">
        <v>27</v>
      </c>
      <c r="D12" s="7" t="s">
        <v>609</v>
      </c>
      <c r="E12" s="7" t="s">
        <v>610</v>
      </c>
      <c r="F12" s="8" t="s">
        <v>594</v>
      </c>
    </row>
    <row r="13" customFormat="false" ht="15" hidden="false" customHeight="false" outlineLevel="0" collapsed="false">
      <c r="A13" s="7" t="s">
        <v>32</v>
      </c>
      <c r="B13" s="7" t="s">
        <v>604</v>
      </c>
      <c r="C13" s="7" t="s">
        <v>27</v>
      </c>
      <c r="D13" s="7" t="s">
        <v>611</v>
      </c>
      <c r="E13" s="7" t="s">
        <v>603</v>
      </c>
      <c r="F13" s="8" t="s">
        <v>594</v>
      </c>
    </row>
    <row r="14" customFormat="false" ht="15" hidden="false" customHeight="false" outlineLevel="0" collapsed="false">
      <c r="A14" s="7" t="s">
        <v>38</v>
      </c>
      <c r="B14" s="7" t="s">
        <v>612</v>
      </c>
      <c r="C14" s="7" t="s">
        <v>26</v>
      </c>
      <c r="D14" s="7" t="s">
        <v>613</v>
      </c>
      <c r="E14" s="7" t="s">
        <v>614</v>
      </c>
      <c r="F14" s="8" t="s">
        <v>594</v>
      </c>
    </row>
    <row r="15" customFormat="false" ht="15" hidden="false" customHeight="false" outlineLevel="0" collapsed="false">
      <c r="A15" s="7" t="s">
        <v>38</v>
      </c>
      <c r="B15" s="7" t="s">
        <v>612</v>
      </c>
      <c r="C15" s="7" t="s">
        <v>26</v>
      </c>
      <c r="D15" s="7" t="s">
        <v>615</v>
      </c>
      <c r="E15" s="7" t="s">
        <v>616</v>
      </c>
      <c r="F15" s="8" t="s">
        <v>594</v>
      </c>
    </row>
    <row r="16" customFormat="false" ht="15" hidden="false" customHeight="false" outlineLevel="0" collapsed="false">
      <c r="A16" s="7" t="s">
        <v>38</v>
      </c>
      <c r="B16" s="7" t="s">
        <v>612</v>
      </c>
      <c r="C16" s="7" t="s">
        <v>26</v>
      </c>
      <c r="D16" s="7" t="s">
        <v>617</v>
      </c>
      <c r="E16" s="7" t="s">
        <v>618</v>
      </c>
      <c r="F16" s="8" t="s">
        <v>594</v>
      </c>
    </row>
    <row r="17" customFormat="false" ht="15" hidden="false" customHeight="false" outlineLevel="0" collapsed="false">
      <c r="A17" s="7" t="s">
        <v>38</v>
      </c>
      <c r="B17" s="7" t="s">
        <v>612</v>
      </c>
      <c r="C17" s="7" t="s">
        <v>26</v>
      </c>
      <c r="D17" s="7" t="s">
        <v>619</v>
      </c>
      <c r="E17" s="7" t="s">
        <v>603</v>
      </c>
      <c r="F17" s="8" t="s">
        <v>594</v>
      </c>
    </row>
    <row r="18" customFormat="false" ht="15" hidden="false" customHeight="false" outlineLevel="0" collapsed="false">
      <c r="A18" s="7" t="s">
        <v>620</v>
      </c>
      <c r="B18" s="7" t="s">
        <v>621</v>
      </c>
      <c r="C18" s="7" t="s">
        <v>27</v>
      </c>
      <c r="D18" s="7" t="s">
        <v>622</v>
      </c>
      <c r="E18" s="7" t="s">
        <v>623</v>
      </c>
      <c r="F18" s="8" t="s">
        <v>594</v>
      </c>
    </row>
    <row r="19" customFormat="false" ht="15" hidden="false" customHeight="false" outlineLevel="0" collapsed="false">
      <c r="A19" s="7" t="s">
        <v>620</v>
      </c>
      <c r="B19" s="7" t="s">
        <v>621</v>
      </c>
      <c r="C19" s="7" t="s">
        <v>26</v>
      </c>
      <c r="D19" s="7" t="s">
        <v>624</v>
      </c>
      <c r="E19" s="7" t="s">
        <v>625</v>
      </c>
      <c r="F19" s="8" t="s">
        <v>594</v>
      </c>
    </row>
    <row r="20" customFormat="false" ht="15" hidden="false" customHeight="false" outlineLevel="0" collapsed="false">
      <c r="A20" s="7" t="s">
        <v>620</v>
      </c>
      <c r="B20" s="7" t="s">
        <v>621</v>
      </c>
      <c r="C20" s="7" t="s">
        <v>27</v>
      </c>
      <c r="D20" s="7" t="s">
        <v>626</v>
      </c>
      <c r="E20" s="7" t="s">
        <v>627</v>
      </c>
      <c r="F20" s="8" t="s">
        <v>594</v>
      </c>
    </row>
    <row r="21" customFormat="false" ht="15" hidden="false" customHeight="false" outlineLevel="0" collapsed="false">
      <c r="A21" s="7" t="s">
        <v>620</v>
      </c>
      <c r="B21" s="7" t="s">
        <v>621</v>
      </c>
      <c r="C21" s="7" t="s">
        <v>27</v>
      </c>
      <c r="D21" s="7" t="s">
        <v>628</v>
      </c>
      <c r="E21" s="7" t="s">
        <v>629</v>
      </c>
      <c r="F21" s="8" t="s">
        <v>594</v>
      </c>
    </row>
    <row r="22" customFormat="false" ht="15" hidden="false" customHeight="false" outlineLevel="0" collapsed="false">
      <c r="A22" s="7" t="s">
        <v>620</v>
      </c>
      <c r="B22" s="7" t="s">
        <v>621</v>
      </c>
      <c r="C22" s="7" t="s">
        <v>630</v>
      </c>
      <c r="D22" s="7" t="s">
        <v>631</v>
      </c>
      <c r="E22" s="7" t="s">
        <v>632</v>
      </c>
      <c r="F22" s="8" t="s">
        <v>594</v>
      </c>
    </row>
    <row r="24" customFormat="false" ht="15" hidden="false" customHeight="false" outlineLevel="0" collapsed="false">
      <c r="A24" s="2" t="s">
        <v>633</v>
      </c>
    </row>
  </sheetData>
  <dataValidations count="1">
    <dataValidation allowBlank="false" errorStyle="stop" operator="between" showDropDown="false" showErrorMessage="false" showInputMessage="false" sqref="F5:F22" type="list">
      <formula1>"No,Yes"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V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0"/>
    <col collapsed="false" customWidth="true" hidden="false" outlineLevel="0" max="4" min="3" style="0" width="8"/>
    <col collapsed="false" customWidth="true" hidden="false" outlineLevel="0" max="30" min="5" style="0" width="3.2"/>
    <col collapsed="false" customWidth="true" hidden="true" outlineLevel="0" max="100" min="100" style="0" width="13"/>
  </cols>
  <sheetData>
    <row r="1" customFormat="false" ht="17.35" hidden="false" customHeight="false" outlineLevel="0" collapsed="false">
      <c r="A1" s="1" t="s">
        <v>634</v>
      </c>
    </row>
    <row r="2" customFormat="false" ht="15" hidden="false" customHeight="false" outlineLevel="0" collapsed="false">
      <c r="A2" s="2" t="s">
        <v>635</v>
      </c>
    </row>
    <row r="4" customFormat="false" ht="21.6" hidden="false" customHeight="false" outlineLevel="0" collapsed="false">
      <c r="A4" s="6" t="s">
        <v>122</v>
      </c>
      <c r="B4" s="6" t="s">
        <v>69</v>
      </c>
      <c r="C4" s="6" t="s">
        <v>636</v>
      </c>
      <c r="D4" s="6" t="s">
        <v>637</v>
      </c>
      <c r="E4" s="29" t="n">
        <v>46318</v>
      </c>
      <c r="F4" s="29" t="n">
        <v>46319</v>
      </c>
      <c r="G4" s="29" t="n">
        <v>46320</v>
      </c>
      <c r="H4" s="29" t="n">
        <v>46321</v>
      </c>
      <c r="I4" s="29" t="n">
        <v>46322</v>
      </c>
      <c r="J4" s="29" t="n">
        <v>46323</v>
      </c>
      <c r="K4" s="29" t="n">
        <v>46324</v>
      </c>
      <c r="L4" s="29" t="n">
        <v>46325</v>
      </c>
      <c r="M4" s="29" t="n">
        <v>46326</v>
      </c>
      <c r="N4" s="29" t="n">
        <v>46327</v>
      </c>
      <c r="O4" s="29" t="n">
        <v>46328</v>
      </c>
      <c r="P4" s="29" t="n">
        <v>46329</v>
      </c>
      <c r="Q4" s="29" t="n">
        <v>46330</v>
      </c>
      <c r="R4" s="29" t="n">
        <v>46331</v>
      </c>
      <c r="S4" s="29" t="n">
        <v>46332</v>
      </c>
      <c r="T4" s="29" t="n">
        <v>46333</v>
      </c>
      <c r="U4" s="29" t="n">
        <v>46334</v>
      </c>
      <c r="V4" s="29" t="n">
        <v>46335</v>
      </c>
      <c r="W4" s="29" t="n">
        <v>46336</v>
      </c>
      <c r="X4" s="29" t="n">
        <v>46337</v>
      </c>
      <c r="Y4" s="29" t="n">
        <v>46338</v>
      </c>
      <c r="Z4" s="29" t="n">
        <v>46339</v>
      </c>
      <c r="AA4" s="29" t="n">
        <v>46340</v>
      </c>
      <c r="AB4" s="29" t="n">
        <v>46341</v>
      </c>
      <c r="AC4" s="29" t="n">
        <v>46342</v>
      </c>
      <c r="AD4" s="29" t="n">
        <v>46343</v>
      </c>
    </row>
    <row r="5" customFormat="false" ht="15" hidden="false" customHeight="false" outlineLevel="0" collapsed="false">
      <c r="A5" s="30" t="str">
        <f aca="false">2_MasterSchedule!A5</f>
        <v>1</v>
      </c>
      <c r="B5" s="30" t="str">
        <f aca="false">2_MasterSchedule!C5</f>
        <v>SPRINT 1 (Fri 23/10 – Thu 29/10) – Plan baseline &amp; F1  |  Leader: Hồ Du Tuấn Đạt</v>
      </c>
      <c r="C5" s="31" t="n">
        <f aca="false">2_MasterSchedule!H5</f>
        <v>46318</v>
      </c>
      <c r="D5" s="31" t="n">
        <f aca="false">2_MasterSchedule!I5</f>
        <v>46324</v>
      </c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CV5" s="33" t="s">
        <v>638</v>
      </c>
    </row>
    <row r="6" customFormat="false" ht="15" hidden="false" customHeight="false" outlineLevel="0" collapsed="false">
      <c r="A6" s="34" t="str">
        <f aca="false">2_MasterSchedule!A6</f>
        <v>1.1</v>
      </c>
      <c r="B6" s="34" t="str">
        <f aca="false">2_MasterSchedule!C6</f>
        <v>Project management – PMP v1.0 baseline (S1_Backlog S1-T01…T05, T13, T14)</v>
      </c>
      <c r="C6" s="35" t="n">
        <f aca="false">2_MasterSchedule!H6</f>
        <v>46318</v>
      </c>
      <c r="D6" s="35" t="n">
        <f aca="false">2_MasterSchedule!I6</f>
        <v>46324</v>
      </c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CV6" s="33" t="s">
        <v>639</v>
      </c>
    </row>
    <row r="7" customFormat="false" ht="15" hidden="false" customHeight="false" outlineLevel="0" collapsed="false">
      <c r="A7" s="34" t="str">
        <f aca="false">2_MasterSchedule!A15</f>
        <v>1.2</v>
      </c>
      <c r="B7" s="34" t="str">
        <f aca="false">2_MasterSchedule!C15</f>
        <v>Development – F1 (S1_Backlog S1-T06…T11)</v>
      </c>
      <c r="C7" s="35" t="n">
        <f aca="false">2_MasterSchedule!H15</f>
        <v>46318</v>
      </c>
      <c r="D7" s="35" t="n">
        <f aca="false">2_MasterSchedule!I15</f>
        <v>46323</v>
      </c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CV7" s="33" t="s">
        <v>639</v>
      </c>
    </row>
    <row r="8" customFormat="false" ht="15" hidden="false" customHeight="false" outlineLevel="0" collapsed="false">
      <c r="A8" s="34" t="str">
        <f aca="false">2_MasterSchedule!A22</f>
        <v>1.3</v>
      </c>
      <c r="B8" s="34" t="str">
        <f aca="false">2_MasterSchedule!C22</f>
        <v>Testing – F1 (S1_Backlog S1-T12)</v>
      </c>
      <c r="C8" s="35" t="n">
        <f aca="false">2_MasterSchedule!H22</f>
        <v>46323</v>
      </c>
      <c r="D8" s="35" t="n">
        <f aca="false">2_MasterSchedule!I22</f>
        <v>46324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CV8" s="33" t="s">
        <v>639</v>
      </c>
    </row>
    <row r="9" customFormat="false" ht="15" hidden="false" customHeight="false" outlineLevel="0" collapsed="false">
      <c r="A9" s="30" t="str">
        <f aca="false">2_MasterSchedule!A24</f>
        <v>M3</v>
      </c>
      <c r="B9" s="30" t="str">
        <f aca="false">2_MasterSchedule!C24</f>
        <v>◆ SPRINT 1 SUBMISSION – 23:59 Thu 29/10</v>
      </c>
      <c r="C9" s="31" t="n">
        <f aca="false">2_MasterSchedule!H24</f>
        <v>46324</v>
      </c>
      <c r="D9" s="31" t="n">
        <f aca="false">2_MasterSchedule!I24</f>
        <v>46324</v>
      </c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CV9" s="33" t="s">
        <v>640</v>
      </c>
    </row>
    <row r="10" customFormat="false" ht="15" hidden="false" customHeight="false" outlineLevel="0" collapsed="false">
      <c r="A10" s="30" t="str">
        <f aca="false">2_MasterSchedule!A25</f>
        <v>2</v>
      </c>
      <c r="B10" s="30" t="str">
        <f aca="false">2_MasterSchedule!C25</f>
        <v>SPRINT 2 (Fri 30/10 – Thu 05/11) – Execution, monitoring &amp; change control  |  Leader: Nguyễn Minh Chính (PO)</v>
      </c>
      <c r="C10" s="31" t="n">
        <f aca="false">2_MasterSchedule!H25</f>
        <v>46325</v>
      </c>
      <c r="D10" s="31" t="n">
        <f aca="false">2_MasterSchedule!I25</f>
        <v>46331</v>
      </c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CV10" s="33" t="s">
        <v>638</v>
      </c>
    </row>
    <row r="11" customFormat="false" ht="15" hidden="false" customHeight="false" outlineLevel="0" collapsed="false">
      <c r="A11" s="34" t="str">
        <f aca="false">2_MasterSchedule!A26</f>
        <v>2.1</v>
      </c>
      <c r="B11" s="34" t="str">
        <f aca="false">2_MasterSchedule!C26</f>
        <v>Scrum events &amp; project management (S2_Backlog draft)</v>
      </c>
      <c r="C11" s="35" t="n">
        <f aca="false">2_MasterSchedule!H26</f>
        <v>46325</v>
      </c>
      <c r="D11" s="35" t="n">
        <f aca="false">2_MasterSchedule!I26</f>
        <v>46331</v>
      </c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CV11" s="33" t="s">
        <v>639</v>
      </c>
    </row>
    <row r="12" customFormat="false" ht="15" hidden="false" customHeight="false" outlineLevel="0" collapsed="false">
      <c r="A12" s="34" t="str">
        <f aca="false">2_MasterSchedule!A33</f>
        <v>2.2</v>
      </c>
      <c r="B12" s="34" t="str">
        <f aca="false">2_MasterSchedule!C33</f>
        <v>Development – F2 and F3</v>
      </c>
      <c r="C12" s="35" t="n">
        <f aca="false">2_MasterSchedule!H33</f>
        <v>46326</v>
      </c>
      <c r="D12" s="35" t="n">
        <f aca="false">2_MasterSchedule!I33</f>
        <v>46330</v>
      </c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CV12" s="33" t="s">
        <v>639</v>
      </c>
    </row>
    <row r="13" customFormat="false" ht="15" hidden="false" customHeight="false" outlineLevel="0" collapsed="false">
      <c r="A13" s="34" t="str">
        <f aca="false">2_MasterSchedule!A43</f>
        <v>2.3</v>
      </c>
      <c r="B13" s="34" t="str">
        <f aca="false">2_MasterSchedule!C43</f>
        <v>CR-06 Option B – Sprint 2 part (only if the CCB approves)</v>
      </c>
      <c r="C13" s="35" t="n">
        <f aca="false">2_MasterSchedule!H43</f>
        <v>46326</v>
      </c>
      <c r="D13" s="35" t="n">
        <f aca="false">2_MasterSchedule!I43</f>
        <v>46331</v>
      </c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CV13" s="33" t="s">
        <v>639</v>
      </c>
    </row>
    <row r="14" customFormat="false" ht="15" hidden="false" customHeight="false" outlineLevel="0" collapsed="false">
      <c r="A14" s="34" t="str">
        <f aca="false">2_MasterSchedule!A50</f>
        <v>2.4</v>
      </c>
      <c r="B14" s="34" t="str">
        <f aca="false">2_MasterSchedule!C50</f>
        <v>Testing – F2 and F3</v>
      </c>
      <c r="C14" s="35" t="n">
        <f aca="false">2_MasterSchedule!H50</f>
        <v>46328</v>
      </c>
      <c r="D14" s="35" t="n">
        <f aca="false">2_MasterSchedule!I50</f>
        <v>46331</v>
      </c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CV14" s="33" t="s">
        <v>639</v>
      </c>
    </row>
    <row r="15" customFormat="false" ht="15" hidden="false" customHeight="false" outlineLevel="0" collapsed="false">
      <c r="A15" s="30" t="str">
        <f aca="false">2_MasterSchedule!A53</f>
        <v>M5</v>
      </c>
      <c r="B15" s="30" t="str">
        <f aca="false">2_MasterSchedule!C53</f>
        <v>◆ SPRINT 2 SUBMISSION – 23:59 Thu 05/11</v>
      </c>
      <c r="C15" s="31" t="n">
        <f aca="false">2_MasterSchedule!H53</f>
        <v>46331</v>
      </c>
      <c r="D15" s="31" t="n">
        <f aca="false">2_MasterSchedule!I53</f>
        <v>46331</v>
      </c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CV15" s="33" t="s">
        <v>640</v>
      </c>
    </row>
    <row r="16" customFormat="false" ht="15" hidden="false" customHeight="false" outlineLevel="0" collapsed="false">
      <c r="A16" s="30" t="str">
        <f aca="false">2_MasterSchedule!A54</f>
        <v>3</v>
      </c>
      <c r="B16" s="30" t="str">
        <f aca="false">2_MasterSchedule!C54</f>
        <v>SPRINT 3 (Fri 06/11 – Thu 12/11) – Complete Release 1.0 &amp; acceptance  |  Leader: Hồ Du Tuấn Đạt</v>
      </c>
      <c r="C16" s="31" t="n">
        <f aca="false">2_MasterSchedule!H54</f>
        <v>46332</v>
      </c>
      <c r="D16" s="31" t="n">
        <f aca="false">2_MasterSchedule!I54</f>
        <v>46338</v>
      </c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CV16" s="33" t="s">
        <v>638</v>
      </c>
    </row>
    <row r="17" customFormat="false" ht="15" hidden="false" customHeight="false" outlineLevel="0" collapsed="false">
      <c r="A17" s="34" t="str">
        <f aca="false">2_MasterSchedule!A55</f>
        <v>3.1</v>
      </c>
      <c r="B17" s="34" t="str">
        <f aca="false">2_MasterSchedule!C55</f>
        <v>Scrum events &amp; release</v>
      </c>
      <c r="C17" s="35" t="n">
        <f aca="false">2_MasterSchedule!H55</f>
        <v>46332</v>
      </c>
      <c r="D17" s="35" t="n">
        <f aca="false">2_MasterSchedule!I55</f>
        <v>46338</v>
      </c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CV17" s="33" t="s">
        <v>639</v>
      </c>
    </row>
    <row r="18" customFormat="false" ht="15" hidden="false" customHeight="false" outlineLevel="0" collapsed="false">
      <c r="A18" s="34" t="str">
        <f aca="false">2_MasterSchedule!A62</f>
        <v>3.2</v>
      </c>
      <c r="B18" s="34" t="str">
        <f aca="false">2_MasterSchedule!C62</f>
        <v>Development – F4 and F5 (+ CR-06 Option B, Sprint 3 part)</v>
      </c>
      <c r="C18" s="35" t="n">
        <f aca="false">2_MasterSchedule!H62</f>
        <v>46333</v>
      </c>
      <c r="D18" s="35" t="n">
        <f aca="false">2_MasterSchedule!I62</f>
        <v>46337</v>
      </c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CV18" s="33" t="s">
        <v>639</v>
      </c>
    </row>
    <row r="19" customFormat="false" ht="15" hidden="false" customHeight="false" outlineLevel="0" collapsed="false">
      <c r="A19" s="34" t="str">
        <f aca="false">2_MasterSchedule!A69</f>
        <v>3.3</v>
      </c>
      <c r="B19" s="34" t="str">
        <f aca="false">2_MasterSchedule!C69</f>
        <v>Testing – F4 and F5</v>
      </c>
      <c r="C19" s="35" t="n">
        <f aca="false">2_MasterSchedule!H69</f>
        <v>46334</v>
      </c>
      <c r="D19" s="35" t="n">
        <f aca="false">2_MasterSchedule!I69</f>
        <v>46338</v>
      </c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CV19" s="33" t="s">
        <v>639</v>
      </c>
    </row>
    <row r="20" customFormat="false" ht="15" hidden="false" customHeight="false" outlineLevel="0" collapsed="false">
      <c r="A20" s="30" t="str">
        <f aca="false">2_MasterSchedule!A73</f>
        <v>M7</v>
      </c>
      <c r="B20" s="30" t="str">
        <f aca="false">2_MasterSchedule!C73</f>
        <v>◆ RELEASE v1.0 + SPRINT 3 SUBMISSION – 23:59 Thu 12/11</v>
      </c>
      <c r="C20" s="31" t="n">
        <f aca="false">2_MasterSchedule!H73</f>
        <v>46338</v>
      </c>
      <c r="D20" s="31" t="n">
        <f aca="false">2_MasterSchedule!I73</f>
        <v>46338</v>
      </c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CV20" s="33" t="s">
        <v>640</v>
      </c>
    </row>
    <row r="21" customFormat="false" ht="15" hidden="false" customHeight="false" outlineLevel="0" collapsed="false">
      <c r="A21" s="30" t="str">
        <f aca="false">2_MasterSchedule!A74</f>
        <v>4</v>
      </c>
      <c r="B21" s="30" t="str">
        <f aca="false">2_MasterSchedule!C74</f>
        <v>CONSOLIDATION &amp; CLOSURE (Fri 13/11 – Tue 17/11)  |  Whole team</v>
      </c>
      <c r="C21" s="31" t="n">
        <f aca="false">2_MasterSchedule!H74</f>
        <v>46339</v>
      </c>
      <c r="D21" s="31" t="n">
        <f aca="false">2_MasterSchedule!I74</f>
        <v>46343</v>
      </c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CV21" s="33" t="s">
        <v>638</v>
      </c>
    </row>
    <row r="22" customFormat="false" ht="15" hidden="false" customHeight="false" outlineLevel="0" collapsed="false">
      <c r="A22" s="34" t="str">
        <f aca="false">2_MasterSchedule!A75</f>
        <v>4.1</v>
      </c>
      <c r="B22" s="34" t="str">
        <f aca="false">2_MasterSchedule!C75</f>
        <v>Acceptance and hand-over</v>
      </c>
      <c r="C22" s="35" t="n">
        <f aca="false">2_MasterSchedule!H75</f>
        <v>46339</v>
      </c>
      <c r="D22" s="35" t="n">
        <f aca="false">2_MasterSchedule!I75</f>
        <v>46340</v>
      </c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CV22" s="33" t="s">
        <v>639</v>
      </c>
    </row>
    <row r="23" customFormat="false" ht="15" hidden="false" customHeight="false" outlineLevel="0" collapsed="false">
      <c r="A23" s="34" t="str">
        <f aca="false">2_MasterSchedule!A78</f>
        <v>4.2</v>
      </c>
      <c r="B23" s="34" t="str">
        <f aca="false">2_MasterSchedule!C78</f>
        <v>Closure documents and presentation</v>
      </c>
      <c r="C23" s="35" t="n">
        <f aca="false">2_MasterSchedule!H78</f>
        <v>46339</v>
      </c>
      <c r="D23" s="35" t="n">
        <f aca="false">2_MasterSchedule!I78</f>
        <v>46343</v>
      </c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CV23" s="33" t="s">
        <v>639</v>
      </c>
    </row>
    <row r="24" customFormat="false" ht="15" hidden="false" customHeight="false" outlineLevel="0" collapsed="false">
      <c r="A24" s="30" t="str">
        <f aca="false">2_MasterSchedule!A84</f>
        <v>M10</v>
      </c>
      <c r="B24" s="30" t="str">
        <f aca="false">2_MasterSchedule!C84</f>
        <v>◆ FINAL PRESENTATION – 07:00 Tue 17/11</v>
      </c>
      <c r="C24" s="31" t="n">
        <f aca="false">2_MasterSchedule!H84</f>
        <v>46343</v>
      </c>
      <c r="D24" s="31" t="n">
        <f aca="false">2_MasterSchedule!I84</f>
        <v>46343</v>
      </c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CV24" s="33" t="s">
        <v>640</v>
      </c>
    </row>
  </sheetData>
  <conditionalFormatting sqref="E5:AD24">
    <cfRule type="expression" priority="2" aboveAverage="0" equalAverage="0" bottom="0" percent="0" rank="0" text="" dxfId="0">
      <formula>AND($CV5="MS",E$4&gt;=$C5,E$4&lt;=$D5)</formula>
    </cfRule>
    <cfRule type="expression" priority="3" aboveAverage="0" equalAverage="0" bottom="0" percent="0" rank="0" text="" dxfId="1">
      <formula>AND($CV5="L1",E$4&gt;=$C5,E$4&lt;=$D5)</formula>
    </cfRule>
    <cfRule type="expression" priority="4" aboveAverage="0" equalAverage="0" bottom="0" percent="0" rank="0" text="" dxfId="2">
      <formula>AND($CV5="L2",E$4&gt;=$C5,E$4&lt;=$D5)</formula>
    </cfRule>
  </conditionalFormatting>
  <conditionalFormatting sqref="E4:AD24">
    <cfRule type="expression" priority="5" aboveAverage="0" equalAverage="0" bottom="0" percent="0" rank="0" text="" dxfId="3">
      <formula>E$4=TODAY()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2"/>
    <col collapsed="false" customWidth="true" hidden="false" outlineLevel="0" max="3" min="3" style="0" width="18"/>
    <col collapsed="false" customWidth="true" hidden="false" outlineLevel="0" max="5" min="4" style="0" width="14"/>
    <col collapsed="false" customWidth="true" hidden="false" outlineLevel="0" max="6" min="6" style="0" width="10"/>
    <col collapsed="false" customWidth="true" hidden="false" outlineLevel="0" max="7" min="7" style="0" width="56"/>
    <col collapsed="false" customWidth="true" hidden="false" outlineLevel="0" max="8" min="8" style="0" width="3"/>
    <col collapsed="false" customWidth="true" hidden="false" outlineLevel="0" max="9" min="9" style="0" width="6"/>
    <col collapsed="false" customWidth="true" hidden="false" outlineLevel="0" max="10" min="10" style="0" width="22"/>
    <col collapsed="false" customWidth="true" hidden="false" outlineLevel="0" max="11" min="11" style="0" width="40"/>
  </cols>
  <sheetData>
    <row r="1" customFormat="false" ht="17.35" hidden="false" customHeight="false" outlineLevel="0" collapsed="false">
      <c r="A1" s="1" t="s">
        <v>641</v>
      </c>
    </row>
    <row r="2" customFormat="false" ht="15" hidden="false" customHeight="false" outlineLevel="0" collapsed="false">
      <c r="A2" s="2" t="s">
        <v>642</v>
      </c>
    </row>
    <row r="4" customFormat="false" ht="23.85" hidden="false" customHeight="false" outlineLevel="0" collapsed="false">
      <c r="A4" s="3" t="s">
        <v>643</v>
      </c>
      <c r="B4" s="36"/>
      <c r="C4" s="36"/>
      <c r="I4" s="6" t="s">
        <v>68</v>
      </c>
      <c r="J4" s="6" t="s">
        <v>578</v>
      </c>
      <c r="K4" s="6" t="s">
        <v>644</v>
      </c>
    </row>
    <row r="5" customFormat="false" ht="23.85" hidden="false" customHeight="false" outlineLevel="0" collapsed="false">
      <c r="A5" s="3" t="s">
        <v>645</v>
      </c>
      <c r="B5" s="36"/>
      <c r="C5" s="36"/>
      <c r="I5" s="7" t="n">
        <v>1</v>
      </c>
      <c r="J5" s="7" t="s">
        <v>26</v>
      </c>
      <c r="K5" s="7" t="s">
        <v>646</v>
      </c>
    </row>
    <row r="6" customFormat="false" ht="23.85" hidden="false" customHeight="true" outlineLevel="0" collapsed="false">
      <c r="A6" s="3" t="s">
        <v>647</v>
      </c>
      <c r="B6" s="4" t="s">
        <v>648</v>
      </c>
      <c r="C6" s="4"/>
      <c r="I6" s="7" t="n">
        <v>2</v>
      </c>
      <c r="J6" s="7" t="s">
        <v>27</v>
      </c>
      <c r="K6" s="7" t="s">
        <v>649</v>
      </c>
    </row>
    <row r="8" customFormat="false" ht="23.85" hidden="false" customHeight="false" outlineLevel="0" collapsed="false">
      <c r="A8" s="6" t="s">
        <v>650</v>
      </c>
      <c r="B8" s="6" t="s">
        <v>69</v>
      </c>
      <c r="C8" s="6" t="s">
        <v>651</v>
      </c>
      <c r="D8" s="6" t="s">
        <v>652</v>
      </c>
      <c r="E8" s="6" t="s">
        <v>653</v>
      </c>
      <c r="F8" s="6" t="s">
        <v>654</v>
      </c>
      <c r="G8" s="6" t="s">
        <v>655</v>
      </c>
    </row>
    <row r="9" customFormat="false" ht="30" hidden="false" customHeight="true" outlineLevel="0" collapsed="false">
      <c r="A9" s="3" t="s">
        <v>352</v>
      </c>
      <c r="B9" s="7" t="s">
        <v>355</v>
      </c>
      <c r="C9" s="8"/>
      <c r="D9" s="8"/>
      <c r="E9" s="8"/>
      <c r="F9" s="8"/>
      <c r="G9" s="8"/>
    </row>
    <row r="10" customFormat="false" ht="30" hidden="false" customHeight="true" outlineLevel="0" collapsed="false">
      <c r="A10" s="3" t="s">
        <v>358</v>
      </c>
      <c r="B10" s="7" t="s">
        <v>359</v>
      </c>
      <c r="C10" s="8"/>
      <c r="D10" s="8"/>
      <c r="E10" s="8"/>
      <c r="F10" s="8"/>
      <c r="G10" s="8"/>
    </row>
    <row r="11" customFormat="false" ht="30" hidden="false" customHeight="true" outlineLevel="0" collapsed="false">
      <c r="A11" s="3" t="s">
        <v>361</v>
      </c>
      <c r="B11" s="7" t="s">
        <v>362</v>
      </c>
      <c r="C11" s="8"/>
      <c r="D11" s="8"/>
      <c r="E11" s="8"/>
      <c r="F11" s="8"/>
      <c r="G11" s="8"/>
    </row>
    <row r="12" customFormat="false" ht="30" hidden="false" customHeight="true" outlineLevel="0" collapsed="false">
      <c r="A12" s="3" t="s">
        <v>364</v>
      </c>
      <c r="B12" s="7" t="s">
        <v>365</v>
      </c>
      <c r="C12" s="8"/>
      <c r="D12" s="8"/>
      <c r="E12" s="8"/>
      <c r="F12" s="8"/>
      <c r="G12" s="8"/>
    </row>
    <row r="13" customFormat="false" ht="30" hidden="false" customHeight="true" outlineLevel="0" collapsed="false">
      <c r="A13" s="3" t="s">
        <v>367</v>
      </c>
      <c r="B13" s="7" t="s">
        <v>369</v>
      </c>
      <c r="C13" s="8"/>
      <c r="D13" s="8"/>
      <c r="E13" s="8"/>
      <c r="F13" s="8"/>
      <c r="G13" s="8"/>
    </row>
    <row r="14" customFormat="false" ht="30" hidden="false" customHeight="true" outlineLevel="0" collapsed="false">
      <c r="A14" s="3" t="s">
        <v>370</v>
      </c>
      <c r="B14" s="7" t="s">
        <v>372</v>
      </c>
      <c r="C14" s="8"/>
      <c r="D14" s="8"/>
      <c r="E14" s="8"/>
      <c r="F14" s="8"/>
      <c r="G14" s="8"/>
    </row>
    <row r="15" customFormat="false" ht="30" hidden="false" customHeight="true" outlineLevel="0" collapsed="false">
      <c r="A15" s="3" t="s">
        <v>373</v>
      </c>
      <c r="B15" s="7" t="s">
        <v>376</v>
      </c>
      <c r="C15" s="8"/>
      <c r="D15" s="8"/>
      <c r="E15" s="8"/>
      <c r="F15" s="8"/>
      <c r="G15" s="8"/>
    </row>
    <row r="16" customFormat="false" ht="30" hidden="false" customHeight="true" outlineLevel="0" collapsed="false">
      <c r="A16" s="3" t="s">
        <v>378</v>
      </c>
      <c r="B16" s="7" t="s">
        <v>379</v>
      </c>
      <c r="C16" s="8"/>
      <c r="D16" s="8"/>
      <c r="E16" s="8"/>
      <c r="F16" s="8"/>
      <c r="G16" s="8"/>
    </row>
    <row r="17" customFormat="false" ht="30" hidden="false" customHeight="true" outlineLevel="0" collapsed="false">
      <c r="A17" s="3" t="s">
        <v>381</v>
      </c>
      <c r="B17" s="7" t="s">
        <v>382</v>
      </c>
      <c r="C17" s="8"/>
      <c r="D17" s="8"/>
      <c r="E17" s="8"/>
      <c r="F17" s="8"/>
      <c r="G17" s="8"/>
    </row>
    <row r="18" customFormat="false" ht="30" hidden="false" customHeight="true" outlineLevel="0" collapsed="false">
      <c r="A18" s="3" t="s">
        <v>384</v>
      </c>
      <c r="B18" s="7" t="s">
        <v>385</v>
      </c>
      <c r="C18" s="8"/>
      <c r="D18" s="8"/>
      <c r="E18" s="8"/>
      <c r="F18" s="8"/>
      <c r="G18" s="8"/>
    </row>
    <row r="19" customFormat="false" ht="30" hidden="false" customHeight="true" outlineLevel="0" collapsed="false">
      <c r="A19" s="3" t="s">
        <v>387</v>
      </c>
      <c r="B19" s="7" t="s">
        <v>388</v>
      </c>
      <c r="C19" s="8"/>
      <c r="D19" s="8"/>
      <c r="E19" s="8"/>
      <c r="F19" s="8"/>
      <c r="G19" s="8"/>
    </row>
    <row r="20" customFormat="false" ht="30" hidden="false" customHeight="true" outlineLevel="0" collapsed="false">
      <c r="A20" s="3" t="s">
        <v>389</v>
      </c>
      <c r="B20" s="7" t="s">
        <v>391</v>
      </c>
      <c r="C20" s="8"/>
      <c r="D20" s="8"/>
      <c r="E20" s="8"/>
      <c r="F20" s="8"/>
      <c r="G20" s="8"/>
    </row>
    <row r="21" customFormat="false" ht="30" hidden="false" customHeight="true" outlineLevel="0" collapsed="false">
      <c r="A21" s="3" t="s">
        <v>393</v>
      </c>
      <c r="B21" s="7" t="s">
        <v>396</v>
      </c>
      <c r="C21" s="8"/>
      <c r="D21" s="8"/>
      <c r="E21" s="8"/>
      <c r="F21" s="8"/>
      <c r="G21" s="8"/>
    </row>
    <row r="22" customFormat="false" ht="30" hidden="false" customHeight="true" outlineLevel="0" collapsed="false">
      <c r="A22" s="3" t="s">
        <v>398</v>
      </c>
      <c r="B22" s="7" t="s">
        <v>399</v>
      </c>
      <c r="C22" s="8"/>
      <c r="D22" s="8"/>
      <c r="E22" s="8"/>
      <c r="F22" s="8"/>
      <c r="G22" s="8"/>
    </row>
    <row r="23" customFormat="false" ht="30" hidden="false" customHeight="true" outlineLevel="0" collapsed="false">
      <c r="A23" s="3" t="s">
        <v>401</v>
      </c>
      <c r="B23" s="7" t="s">
        <v>403</v>
      </c>
      <c r="C23" s="8"/>
      <c r="D23" s="8"/>
      <c r="E23" s="8"/>
      <c r="F23" s="8"/>
      <c r="G23" s="8"/>
    </row>
    <row r="24" customFormat="false" ht="30" hidden="false" customHeight="true" outlineLevel="0" collapsed="false">
      <c r="A24" s="3" t="s">
        <v>405</v>
      </c>
      <c r="B24" s="7" t="s">
        <v>407</v>
      </c>
      <c r="C24" s="8"/>
      <c r="D24" s="8"/>
      <c r="E24" s="8"/>
      <c r="F24" s="8"/>
      <c r="G24" s="8"/>
    </row>
    <row r="25" customFormat="false" ht="30" hidden="false" customHeight="true" outlineLevel="0" collapsed="false">
      <c r="A25" s="3" t="s">
        <v>409</v>
      </c>
      <c r="B25" s="7" t="s">
        <v>410</v>
      </c>
      <c r="C25" s="8"/>
      <c r="D25" s="8"/>
      <c r="E25" s="8"/>
      <c r="F25" s="8"/>
      <c r="G25" s="8"/>
    </row>
    <row r="26" customFormat="false" ht="30" hidden="false" customHeight="true" outlineLevel="0" collapsed="false">
      <c r="A26" s="3" t="s">
        <v>412</v>
      </c>
      <c r="B26" s="7" t="s">
        <v>414</v>
      </c>
      <c r="C26" s="8"/>
      <c r="D26" s="8"/>
      <c r="E26" s="8"/>
      <c r="F26" s="8"/>
      <c r="G26" s="8"/>
    </row>
    <row r="27" customFormat="false" ht="30" hidden="false" customHeight="true" outlineLevel="0" collapsed="false">
      <c r="A27" s="3" t="s">
        <v>416</v>
      </c>
      <c r="B27" s="7" t="s">
        <v>418</v>
      </c>
      <c r="C27" s="8"/>
      <c r="D27" s="8"/>
      <c r="E27" s="8"/>
      <c r="F27" s="8"/>
      <c r="G27" s="8"/>
    </row>
    <row r="28" customFormat="false" ht="30" hidden="false" customHeight="true" outlineLevel="0" collapsed="false">
      <c r="A28" s="3" t="s">
        <v>422</v>
      </c>
      <c r="B28" s="7" t="s">
        <v>423</v>
      </c>
      <c r="C28" s="8"/>
      <c r="D28" s="8"/>
      <c r="E28" s="8"/>
      <c r="F28" s="8"/>
      <c r="G28" s="8"/>
    </row>
    <row r="30" customFormat="false" ht="15" hidden="false" customHeight="false" outlineLevel="0" collapsed="false">
      <c r="A30" s="5" t="s">
        <v>656</v>
      </c>
    </row>
    <row r="31" customFormat="false" ht="15" hidden="false" customHeight="true" outlineLevel="0" collapsed="false">
      <c r="A31" s="6" t="s">
        <v>68</v>
      </c>
      <c r="B31" s="6" t="s">
        <v>657</v>
      </c>
      <c r="C31" s="6" t="s">
        <v>658</v>
      </c>
      <c r="D31" s="6"/>
      <c r="E31" s="6"/>
      <c r="F31" s="6"/>
      <c r="G31" s="6"/>
    </row>
    <row r="32" customFormat="false" ht="30" hidden="false" customHeight="true" outlineLevel="0" collapsed="false">
      <c r="A32" s="7" t="n">
        <v>1</v>
      </c>
      <c r="B32" s="7" t="s">
        <v>659</v>
      </c>
      <c r="C32" s="36"/>
      <c r="D32" s="36"/>
      <c r="E32" s="36"/>
      <c r="F32" s="36"/>
      <c r="G32" s="36"/>
    </row>
    <row r="33" customFormat="false" ht="30" hidden="false" customHeight="true" outlineLevel="0" collapsed="false">
      <c r="A33" s="7" t="n">
        <v>2</v>
      </c>
      <c r="B33" s="7" t="s">
        <v>660</v>
      </c>
      <c r="C33" s="36"/>
      <c r="D33" s="36"/>
      <c r="E33" s="36"/>
      <c r="F33" s="36"/>
      <c r="G33" s="36"/>
    </row>
    <row r="34" customFormat="false" ht="30" hidden="false" customHeight="true" outlineLevel="0" collapsed="false">
      <c r="A34" s="7" t="n">
        <v>3</v>
      </c>
      <c r="B34" s="7" t="s">
        <v>661</v>
      </c>
      <c r="C34" s="36"/>
      <c r="D34" s="36"/>
      <c r="E34" s="36"/>
      <c r="F34" s="36"/>
      <c r="G34" s="36"/>
    </row>
    <row r="35" customFormat="false" ht="30" hidden="false" customHeight="true" outlineLevel="0" collapsed="false">
      <c r="A35" s="7" t="n">
        <v>4</v>
      </c>
      <c r="B35" s="7" t="s">
        <v>662</v>
      </c>
      <c r="C35" s="36"/>
      <c r="D35" s="36"/>
      <c r="E35" s="36"/>
      <c r="F35" s="36"/>
      <c r="G35" s="36"/>
    </row>
  </sheetData>
  <mergeCells count="8">
    <mergeCell ref="B4:C4"/>
    <mergeCell ref="B5:C5"/>
    <mergeCell ref="B6:C6"/>
    <mergeCell ref="C31:G31"/>
    <mergeCell ref="C32:G32"/>
    <mergeCell ref="C33:G33"/>
    <mergeCell ref="C34:G34"/>
    <mergeCell ref="C35:G35"/>
  </mergeCells>
  <dataValidations count="1">
    <dataValidation allowBlank="true" errorStyle="stop" operator="between" showDropDown="false" showErrorMessage="false" showInputMessage="false" sqref="F9:F28" type="list">
      <formula1>"1,2,3,5,8,13"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2026-10-29T19:24:32Z</dcterms:created>
  <dc:creator>openpyxl</dc:creator>
  <dc:description/>
  <dc:language>en-US</dc:language>
  <cp:lastModifiedBy/>
  <dcterms:modified xsi:type="dcterms:W3CDTF">2026-10-29T19:24:32Z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