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Proposal_Approval" sheetId="1" state="visible" r:id="rId3"/>
    <sheet name="2_MasterSchedule" sheetId="2" state="visible" r:id="rId4"/>
    <sheet name="3_ItemAllocation" sheetId="3" state="visible" r:id="rId5"/>
    <sheet name="4_ReleasePlan" sheetId="4" state="visible" r:id="rId6"/>
    <sheet name="5_Responsibilities" sheetId="5" state="visible" r:id="rId7"/>
    <sheet name="6_Deliverables" sheetId="6" state="visible" r:id="rId8"/>
    <sheet name="7_Timeline" sheetId="7" state="visible" r:id="rId9"/>
    <sheet name="8_PlanningPoker"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<sst xmlns="http://schemas.openxmlformats.org/spreadsheetml/2006/main" count="1268" uniqueCount="685">
  <si>
    <t xml:space="preserve">MASTER PLAN – E-COMMERCIAL BOOK STORE RELEASE 1.0 (Team 6 – Page Turners)</t>
  </si>
  <si>
    <t xml:space="preserve">Proposal v0.4 – restructured into the class Master Plan layout (30/10) | Prepared by Nguyễn Minh Chính (PO) with Hồ Du Tuấn Đạt | Schedule 23/10 – 17/11/2026</t>
  </si>
  <si>
    <t xml:space="preserve">Course</t>
  </si>
  <si>
    <t xml:space="preserve">Software Project Management (72ITSE41503) – Final Project, Semester 261</t>
  </si>
  <si>
    <t xml:space="preserve">Sponsor / Customer</t>
  </si>
  <si>
    <t xml:space="preserve">Dr. Bùi Minh Phụng (lecturer) in the role of Ms. Le – approves the plan, issues the Change Request, signs UAT</t>
  </si>
  <si>
    <t xml:space="preserve">Release 1.0 scope</t>
  </si>
  <si>
    <t xml:space="preserve">F1 System administration · F2 Book management · F3 Book list · F4 Book details · F5 Search/filter [03 §2.2]</t>
  </si>
  <si>
    <t xml:space="preserve">Out of scope</t>
  </si>
  <si>
    <t xml:space="preserve">Shopping cart, payment, social login → 13 backlog items set to Won't (R1.0) (sheet 3)</t>
  </si>
  <si>
    <t xml:space="preserve">Minimum non-functional</t>
  </si>
  <si>
    <t xml:space="preserve">Responsive · ≥ 30 sample books · list page &lt; 2 s · client + server validation · hashed passwords · free hosting online until 17/11</t>
  </si>
  <si>
    <t xml:space="preserve">Tools</t>
  </si>
  <si>
    <t xml:space="preserve">Jira (space ECBS: board, Original Estimate, Completed Work) · GitHub repo (main/develop, reviewed PRs, tags) · Excel workbook · proposed stack Next.js + PostgreSQL on free hosting (to confirm)</t>
  </si>
  <si>
    <t xml:space="preserve">Effort &amp; budget</t>
  </si>
  <si>
    <t xml:space="preserve">A. PROPOSED SPRINT LEADER ROTATION (Option A – recommended)</t>
  </si>
  <si>
    <t xml:space="preserve">Sprint</t>
  </si>
  <si>
    <t xml:space="preserve">Dates</t>
  </si>
  <si>
    <t xml:space="preserve">Sprint Leader</t>
  </si>
  <si>
    <t xml:space="preserve">Product Owner</t>
  </si>
  <si>
    <t xml:space="preserve">Sprint PM focus</t>
  </si>
  <si>
    <t xml:space="preserve">Increment</t>
  </si>
  <si>
    <t xml:space="preserve">Why this Leader</t>
  </si>
  <si>
    <t xml:space="preserve">Submission / Review</t>
  </si>
  <si>
    <t xml:space="preserve">Sprint 1</t>
  </si>
  <si>
    <t xml:space="preserve">Fri 23/10 – Thu 29/10</t>
  </si>
  <si>
    <t xml:space="preserve">Hồ Du Tuấn Đạt</t>
  </si>
  <si>
    <t xml:space="preserve">Nguyễn Minh Chính</t>
  </si>
  <si>
    <t xml:space="preserve">PMP v1.0 (7 parts), Product Backlog v1.0, Planning Poker, Release Plan, BAC, Sprint Planning 1; record CR-06</t>
  </si>
  <si>
    <t xml:space="preserve">F1 – System administration + hosting</t>
  </si>
  <si>
    <t xml:space="preserve">Scrum Master in Lab 3 and the TA; owns the repo and the Jira site, so he sets up the baseline and tooling</t>
  </si>
  <si>
    <t xml:space="preserve">Due 23:59 Thu 29/10 · Review 1 + CCB: Fri 30/10</t>
  </si>
  <si>
    <t xml:space="preserve">Sprint 2</t>
  </si>
  <si>
    <t xml:space="preserve">Fri 30/10 – Thu 05/11</t>
  </si>
  <si>
    <t xml:space="preserve">CR-06 in 5 steps + CCB, Weekly Status Report, risk register and issue log, F2/F3 test cases</t>
  </si>
  <si>
    <t xml:space="preserve">F2 – Book management · F3 – Book list (+ CR-06 if approved)</t>
  </si>
  <si>
    <t xml:space="preserve">2-member rule: the PO leads Sprint 2 [03 §4.1]; the PO wrote the AC that the CR changes</t>
  </si>
  <si>
    <t xml:space="preserve">Due 23:59 Thu 05/11 · Review 2: Fri 06/11</t>
  </si>
  <si>
    <t xml:space="preserve">Sprint 3</t>
  </si>
  <si>
    <t xml:space="preserve">Fri 06/11 – Thu 12/11</t>
  </si>
  <si>
    <t xml:space="preserve">Release v1.0 (tag + release notes), UAT script, EVM draft, F4/F5 test cases, regression F1–F3</t>
  </si>
  <si>
    <t xml:space="preserve">F4 – Book details · F5 – Search/filter</t>
  </si>
  <si>
    <t xml:space="preserve">Second Sprint for the non-PO member [03 §4.1]; backend owner for search/filter and the release tag</t>
  </si>
  <si>
    <t xml:space="preserve">Due 23:59 Thu 12/11 · Review 3 + UAT: Fri 13/11</t>
  </si>
  <si>
    <t xml:space="preserve">Closure</t>
  </si>
  <si>
    <t xml:space="preserve">Fri 13/11 – Tue 17/11</t>
  </si>
  <si>
    <t xml:space="preserve">Whole team</t>
  </si>
  <si>
    <t xml:space="preserve">Final Report (plan vs. actual, EVM), Lessons Learned, slides, demo video</t>
  </si>
  <si>
    <t xml:space="preserve">Release 1.0 online until end of 17/11</t>
  </si>
  <si>
    <t xml:space="preserve">Not a Sprint – no Leader turn; Chính coordinates the Final Report</t>
  </si>
  <si>
    <t xml:space="preserve">Final submission: 23:59 Sun 15/11 · Presentation: 07:00 Tue 17/11</t>
  </si>
  <si>
    <t xml:space="preserve">B. OPTIONS COMPARED</t>
  </si>
  <si>
    <t xml:space="preserve">Option</t>
  </si>
  <si>
    <t xml:space="preserve">Pros</t>
  </si>
  <si>
    <t xml:space="preserve">Cons / risks</t>
  </si>
  <si>
    <t xml:space="preserve">Rating</t>
  </si>
  <si>
    <t xml:space="preserve">A (recommended)</t>
  </si>
  <si>
    <t xml:space="preserve">Nguyễn Minh Chính (PO)</t>
  </si>
  <si>
    <t xml:space="preserve">Keeps the Lab 3 / TA roles (Chính PO, Đạt Scrum Master); Đạt, who owns the repo and Jira, leads the setup Sprint; the PO is the Leader when the CR is processed.</t>
  </si>
  <si>
    <t xml:space="preserve">In Sprint 2 the PO and the Leader are the same person at the CCB → Đạt reviews the impact analysis before the CCB.</t>
  </si>
  <si>
    <t xml:space="preserve">★★</t>
  </si>
  <si>
    <t xml:space="preserve">B</t>
  </si>
  <si>
    <t xml:space="preserve">Hồ Du Tuấn Đạt (PO)</t>
  </si>
  <si>
    <t xml:space="preserve">Chính leads twice and keeps the board, where he already did the TA Week 2 setup.</t>
  </si>
  <si>
    <t xml:space="preserve">Changes the PO two weeks before the end; Đạt would have to take over the backlog and AC written by Chính; breaks continuity with Lab 3.</t>
  </si>
  <si>
    <t xml:space="preserve">★</t>
  </si>
  <si>
    <t xml:space="preserve">With 2 members the rule allows only these two patterns: the PO leads Sprint 2, the other member leads Sprints 1 and 3 [03 §4.1].</t>
  </si>
  <si>
    <t xml:space="preserve">C. DECISIONS FOR APPROVAL  (choose in the 'Status' column – yellow cells)</t>
  </si>
  <si>
    <t xml:space="preserve">#</t>
  </si>
  <si>
    <t xml:space="preserve">Item</t>
  </si>
  <si>
    <t xml:space="preserve">Proposal</t>
  </si>
  <si>
    <t xml:space="preserve">Rationale</t>
  </si>
  <si>
    <t xml:space="preserve">Status</t>
  </si>
  <si>
    <t xml:space="preserve">Reviewer notes</t>
  </si>
  <si>
    <t xml:space="preserve">Leader rotation &amp; PO</t>
  </si>
  <si>
    <t xml:space="preserve">Option A: Đạt (S1) → Chính (S2) → Đạt (S3); PO = Chính, fixed, also a Developer. Fixed in PMP v1.0.</t>
  </si>
  <si>
    <t xml:space="preserve">Mandatory 2-member rule [03 §4.1]; continuity with Lab 3 and the TA.</t>
  </si>
  <si>
    <t xml:space="preserve">Pending</t>
  </si>
  <si>
    <t xml:space="preserve">Rebaseline Product Backlog</t>
  </si>
  <si>
    <t xml:space="preserve">Backlog v0 (23 items, 99 SP) remapped to F1–F5: 14 Release 1.0 items (new: US-24 categories, US-25 authors, NFR-01, NFR-02); 13 items → Won't (R1.0); 29 items total (sheet 3).</t>
  </si>
  <si>
    <t xml:space="preserve">Spec scope [03 §2.2]; ≥ 15 items kept; gap analysis [05 §1, §4].</t>
  </si>
  <si>
    <t xml:space="preserve">Item allocation per Sprint</t>
  </si>
  <si>
    <t xml:space="preserve">Reference plan: S1 F1 + hosting · S2 F2 + F3 + seed data / &lt; 2 s check · S3 F4 + F5 + release.</t>
  </si>
  <si>
    <t xml:space="preserve">Every Increment is shown on the hosted URL; the &lt; 2 s check is done on the page it measures.</t>
  </si>
  <si>
    <t xml:space="preserve">Capacity &amp; budget</t>
  </si>
  <si>
    <t xml:space="preserve">BAC = planned person-hours × 200,000 VND [03 §6.4]; tasks ≤ 1 person-day with owner and hours [03 §6.1 item 5].</t>
  </si>
  <si>
    <t xml:space="preserve">Estimation</t>
  </si>
  <si>
    <t xml:space="preserve">SP only from Planning Poker with every round logged (sheet 8, BM01 format); expected velocity from capacity until the actual Sprint 1 velocity exists.</t>
  </si>
  <si>
    <t xml:space="preserve">Planning Poker evidence is graded (B4) and was missing last year [03 §8].</t>
  </si>
  <si>
    <t xml:space="preserve">Change Request CR-06</t>
  </si>
  <si>
    <t xml:space="preserve">Logged; impact analysis with options A (all in S2) / B (S2 + S3) / C (defer) for the CCB on 30/10; enters the plan only if approved → baseline v1.1 (sheet 4).</t>
  </si>
  <si>
    <t xml:space="preserve">5-step CR process [03 §6.2 item 3]; proposed impact +22 h, +4,400,000 VND.</t>
  </si>
  <si>
    <t xml:space="preserve">Scrum event calendar</t>
  </si>
  <si>
    <t xml:space="preserve">Sprint Planning ≤ 45 min on the first day of each Sprint; Daily Scrum ≤ 10 min, asynchronous in Slack #daily-standup (format Yesterday / Today / Blockers), logged; Review + Retro on Friday in class.</t>
  </si>
  <si>
    <t xml:space="preserve">Timeboxes [03 §4.2]; Slack was the TA team channel.</t>
  </si>
  <si>
    <t xml:space="preserve">Configuration management</t>
  </si>
  <si>
    <t xml:space="preserve">Branches main ← develop ← feat/Pxx-…, docs/Pxx-…; every change by PR reviewed by the other member; Conventional Commits + 'Refs: Pxx'; tags baseline-v1.0, baseline-v1.1 (if CR approved), v1.0.</t>
  </si>
  <si>
    <t xml:space="preserve">No direct commits to main [03 §4.2]; criteria S5 and B7.</t>
  </si>
  <si>
    <t xml:space="preserve">Sprint 1 recovery</t>
  </si>
  <si>
    <t xml:space="preserve">On 30/10 the Sprint 1 planning artefacts and F1 are not finished (sheet 2, status column). Finish and submit the S1 package as soon as possible, report the actual S1 result at Review 1, and re-check allocation at Sprint Planning 2 with the actual velocity.</t>
  </si>
  <si>
    <t xml:space="preserve">Late penalty −10 % per 5 h [03 §4.2]; the Sprint timebox is fixed, so unfinished work returns to the backlog [Rubric 1, S2].</t>
  </si>
  <si>
    <t xml:space="preserve">Approved:</t>
  </si>
  <si>
    <t xml:space="preserve">D. VERSION HISTORY</t>
  </si>
  <si>
    <t xml:space="preserve">Version</t>
  </si>
  <si>
    <t xml:space="preserve">Date</t>
  </si>
  <si>
    <t xml:space="preserve">Author</t>
  </si>
  <si>
    <t xml:space="preserve">Changes</t>
  </si>
  <si>
    <t xml:space="preserve">0.1</t>
  </si>
  <si>
    <t xml:space="preserve">30/10/2026</t>
  </si>
  <si>
    <t xml:space="preserve">Chính (drafted with Claude)</t>
  </si>
  <si>
    <t xml:space="preserve">First draft as a Word document: schedule, milestones, Leader rotation, item allocation, velocity/PSP/BAC formulas.</t>
  </si>
  <si>
    <t xml:space="preserve">0.2</t>
  </si>
  <si>
    <t xml:space="preserve">Workbook: WBS with owner, proposed hours and dates per task; BAC from the WBS; allocation; timeline; RACI; submission schedule; decisions for approval. vs. TA Work Plan: 2-week Sprint → three 1-week Sprints; scope → Release 1.0 (F1–F5).</t>
  </si>
  <si>
    <t xml:space="preserve">0.3</t>
  </si>
  <si>
    <t xml:space="preserve">Capacity 28 h/person/Sprint (PO assumption); Planning Poker log in the BM01 format.</t>
  </si>
  <si>
    <t xml:space="preserve">0.4</t>
  </si>
  <si>
    <t xml:space="preserve">Reorganised into the class Master Plan layout (proposal &amp; approval, master schedule, item allocation, release plan, responsibilities, deliverables) + timeline and Planning Poker sheets; leader options compared; expected velocity now scaled from the TA reference velocity.</t>
  </si>
  <si>
    <t xml:space="preserve">Legend: yellow cells = reviewer / team input. Story Points stay empty until the Planning Poker session; capacity and effort are planning assumptions, not actual hours (actual hours come from Jira Completed Work).</t>
  </si>
  <si>
    <t xml:space="preserve">MASTER SCHEDULE &amp; WBS 23/10 – 17/11/2026</t>
  </si>
  <si>
    <t xml:space="preserve">WBS level 1 = Sprint/phase · level 2 = work package · level 3 = task (≤ 1 person-day). Effort = proposed person-hours (team to confirm); 'Both' = shared task, counted half per member. Status as of 30/10/2026.</t>
  </si>
  <si>
    <t xml:space="preserve">WBS</t>
  </si>
  <si>
    <t xml:space="preserve">Phase</t>
  </si>
  <si>
    <t xml:space="preserve">Work package / task</t>
  </si>
  <si>
    <t xml:space="preserve">Owner</t>
  </si>
  <si>
    <t xml:space="preserve">Effort (h)</t>
  </si>
  <si>
    <t xml:space="preserve">Output / evidence</t>
  </si>
  <si>
    <t xml:space="preserve">Planned start</t>
  </si>
  <si>
    <t xml:space="preserve">Planned finish</t>
  </si>
  <si>
    <t xml:space="preserve">1</t>
  </si>
  <si>
    <t xml:space="preserve">SPRINT 1 (Fri 23/10 – Thu 29/10) – Plan baseline &amp; F1  |  Leader: Hồ Du Tuấn Đạt</t>
  </si>
  <si>
    <t xml:space="preserve">Sprint Goal: an Administrator can create and lock accounts and a Customer can register, log in and log out, with admin functions blocked for every other role – F1 meets all its AC on the hosted URL; PMP v1.0 baselined.</t>
  </si>
  <si>
    <t xml:space="preserve">1.1</t>
  </si>
  <si>
    <t xml:space="preserve">Scrum events</t>
  </si>
  <si>
    <t xml:space="preserve">1.1.1</t>
  </si>
  <si>
    <t xml:space="preserve">Internal kick-off: Release 1.0 scope, roles, Leader rotation, working agreement, capacity</t>
  </si>
  <si>
    <t xml:space="preserve">Both</t>
  </si>
  <si>
    <t xml:space="preserve">Kick-off minutes; plan/INPUTS.md §1–2</t>
  </si>
  <si>
    <t xml:space="preserve">To Do</t>
  </si>
  <si>
    <t xml:space="preserve">1.1.2</t>
  </si>
  <si>
    <t xml:space="preserve">Sprint Planning 1 (≤ 45 min) → sheet S1_Backlog → Jira (Original Estimate)</t>
  </si>
  <si>
    <t xml:space="preserve">S1_Backlog; Jira Sprint 1</t>
  </si>
  <si>
    <t xml:space="preserve">1.1.3</t>
  </si>
  <si>
    <t xml:space="preserve">Daily Scrum S1 (≤ 10 min, logged) + daily board and hours update</t>
  </si>
  <si>
    <t xml:space="preserve">Daily log; Jira Time spent</t>
  </si>
  <si>
    <t xml:space="preserve">1.2</t>
  </si>
  <si>
    <t xml:space="preserve">Project management – PMP v1.0 baseline</t>
  </si>
  <si>
    <t xml:space="preserve">1.2.1</t>
  </si>
  <si>
    <t xml:space="preserve">Repo structure, develop/main branches, roadmap; repo private; invite lecturer to GitHub and Jira (Viewer)</t>
  </si>
  <si>
    <t xml:space="preserve">Repo; access confirmation</t>
  </si>
  <si>
    <t xml:space="preserve">In Progress</t>
  </si>
  <si>
    <t xml:space="preserve">1.2.2</t>
  </si>
  <si>
    <t xml:space="preserve">Product Backlog v1.0: remap v0 to F1–F5, Given–When–Then AC, MoSCoW, Definition of Ready</t>
  </si>
  <si>
    <t xml:space="preserve">pm/backlog/product-backlog.md</t>
  </si>
  <si>
    <t xml:space="preserve">1.2.3</t>
  </si>
  <si>
    <t xml:space="preserve">Planning Poker session for new/changed items + log of every round</t>
  </si>
  <si>
    <t xml:space="preserve">Planning Poker log + photo evidence</t>
  </si>
  <si>
    <t xml:space="preserve">1.2.4</t>
  </si>
  <si>
    <t xml:space="preserve">Master Plan / Release Plan: schedule, milestones, allocation, capacity, velocity, PSP, BAC</t>
  </si>
  <si>
    <t xml:space="preserve">This workbook; PMP part 3</t>
  </si>
  <si>
    <t xml:space="preserve">1.2.5</t>
  </si>
  <si>
    <t xml:space="preserve">PMP part 1 – Project Charter (Lab 1–2 updated to Release 1.0)</t>
  </si>
  <si>
    <t xml:space="preserve">PMP part 1</t>
  </si>
  <si>
    <t xml:space="preserve">1.2.6</t>
  </si>
  <si>
    <t xml:space="preserve">PMP part 2 – Tailored Scrum process (TA Process updated to 1-week Sprints)</t>
  </si>
  <si>
    <t xml:space="preserve">PMP part 2</t>
  </si>
  <si>
    <t xml:space="preserve">1.2.7</t>
  </si>
  <si>
    <t xml:space="preserve">PMP part 4 – Quality plan (3-level DoD with evidence and checker, metrics)</t>
  </si>
  <si>
    <t xml:space="preserve">PMP part 4</t>
  </si>
  <si>
    <t xml:space="preserve">1.2.8</t>
  </si>
  <si>
    <t xml:space="preserve">PMP part 5 – Risk management plan (P×I 1–5, register ≥ 8 risks)</t>
  </si>
  <si>
    <t xml:space="preserve">PMP part 5</t>
  </si>
  <si>
    <t xml:space="preserve">1.2.9</t>
  </si>
  <si>
    <t xml:space="preserve">PMP parts 6–7 – Configuration management plan, Communication plan</t>
  </si>
  <si>
    <t xml:space="preserve">PMP parts 6–7</t>
  </si>
  <si>
    <t xml:space="preserve">◆</t>
  </si>
  <si>
    <t xml:space="preserve">◆ Tue 27/10 in class: Change Request CR-06 received</t>
  </si>
  <si>
    <t xml:space="preserve">CR-06 form</t>
  </si>
  <si>
    <t xml:space="preserve">Done</t>
  </si>
  <si>
    <t xml:space="preserve">1.2.10</t>
  </si>
  <si>
    <t xml:space="preserve">CR-06: record in Change Log, impact analysis, ≥ 2 options for the CCB</t>
  </si>
  <si>
    <t xml:space="preserve">pm/change/change-log.md, CR-06-impact-analysis.md</t>
  </si>
  <si>
    <t xml:space="preserve">1.2.11</t>
  </si>
  <si>
    <t xml:space="preserve">Consolidate c1_ProjectPlan.docx and c2_SprintBacklog_S1.xlsx</t>
  </si>
  <si>
    <t xml:space="preserve">c1, c2 – Sprint 1</t>
  </si>
  <si>
    <t xml:space="preserve">1.2.12</t>
  </si>
  <si>
    <t xml:space="preserve">c3_SprintReport_S1 + c0_Eval_S1 + upload each file to E-learning</t>
  </si>
  <si>
    <t xml:space="preserve">c3, c0 – Sprint 1</t>
  </si>
  <si>
    <t xml:space="preserve">1.3</t>
  </si>
  <si>
    <t xml:space="preserve">Development – F1 and foundations</t>
  </si>
  <si>
    <t xml:space="preserve">1.3.1</t>
  </si>
  <si>
    <t xml:space="preserve">Scaffold app (Next.js, PostgreSQL, health check) and deploy to free hosting (NFR-02)</t>
  </si>
  <si>
    <t xml:space="preserve">Public URL; app/README.md</t>
  </si>
  <si>
    <t xml:space="preserve">1.3.2</t>
  </si>
  <si>
    <t xml:space="preserve">US-01 Register – API, server validation, password hashing</t>
  </si>
  <si>
    <t xml:space="preserve">Reviewed PR</t>
  </si>
  <si>
    <t xml:space="preserve">1.3.3</t>
  </si>
  <si>
    <t xml:space="preserve">US-01 Register – form and client validation</t>
  </si>
  <si>
    <t xml:space="preserve">1.3.4</t>
  </si>
  <si>
    <t xml:space="preserve">US-02 Log in / log out – API and session</t>
  </si>
  <si>
    <t xml:space="preserve">1.3.5</t>
  </si>
  <si>
    <t xml:space="preserve">US-02 Log in / log out – screens</t>
  </si>
  <si>
    <t xml:space="preserve">1.3.6</t>
  </si>
  <si>
    <t xml:space="preserve">US-03 Roles (Administrator, Customer) + server-side authorization guard</t>
  </si>
  <si>
    <t xml:space="preserve">1.3.7</t>
  </si>
  <si>
    <t xml:space="preserve">US-03 Administrator creates and locks accounts (screens + API)</t>
  </si>
  <si>
    <t xml:space="preserve">1.4</t>
  </si>
  <si>
    <t xml:space="preserve">Testing – F1</t>
  </si>
  <si>
    <t xml:space="preserve">1.4.1</t>
  </si>
  <si>
    <t xml:space="preserve">Write F1 test cases from the AC (≥ 1 per AC)</t>
  </si>
  <si>
    <t xml:space="preserve">pm/sprints/S1/test-cases-F1.md</t>
  </si>
  <si>
    <t xml:space="preserve">1.4.2</t>
  </si>
  <si>
    <t xml:space="preserve">Execute F1 test cases on the hosted URL; record actual results and defects</t>
  </si>
  <si>
    <t xml:space="preserve">Test results</t>
  </si>
  <si>
    <t xml:space="preserve">1.4.3</t>
  </si>
  <si>
    <t xml:space="preserve">Code review of F1 pull requests (each reviews the other)</t>
  </si>
  <si>
    <t xml:space="preserve">PR reviews</t>
  </si>
  <si>
    <t xml:space="preserve">M3</t>
  </si>
  <si>
    <t xml:space="preserve">◆ SPRINT 1 SUBMISSION – 23:59 Thu 29/10</t>
  </si>
  <si>
    <t xml:space="preserve">Upload each file separately to E-learning; no zip</t>
  </si>
  <si>
    <t xml:space="preserve">2</t>
  </si>
  <si>
    <t xml:space="preserve">SPRINT 2 (Fri 30/10 – Thu 05/11) – Execution, monitoring &amp; change control  |  Leader: Nguyễn Minh Chính (PO)</t>
  </si>
  <si>
    <t xml:space="preserve">Sprint Goal: an Administrator can manage books (soft delete), categories and authors, and a Customer can browse a responsive grid of ≥ 30 books, 12 per page, newest first – F2 and F3 meet all their AC; CR-06 processed through the CCB.</t>
  </si>
  <si>
    <t xml:space="preserve">2.1</t>
  </si>
  <si>
    <t xml:space="preserve">2.1.1</t>
  </si>
  <si>
    <t xml:space="preserve">◆ Review &amp; Retro 1 in class, Fri 30/10 (Đạt presents; ≥ 2 action items)</t>
  </si>
  <si>
    <t xml:space="preserve">Review slides; Retro action items</t>
  </si>
  <si>
    <t xml:space="preserve">2.1.2</t>
  </si>
  <si>
    <t xml:space="preserve">Sprint Planning 2 with the ACTUAL Sprint 1 velocity → S2_Backlog → Jira</t>
  </si>
  <si>
    <t xml:space="preserve">S2_Backlog; Jira Sprint 2</t>
  </si>
  <si>
    <t xml:space="preserve">2.1.3</t>
  </si>
  <si>
    <t xml:space="preserve">Daily Scrum S2 + daily board and hours update</t>
  </si>
  <si>
    <t xml:space="preserve">2.2</t>
  </si>
  <si>
    <t xml:space="preserve">Project management &amp; change control</t>
  </si>
  <si>
    <t xml:space="preserve">2.2.1</t>
  </si>
  <si>
    <t xml:space="preserve">CCB on CR-06 (PO + Leader + Sponsor): record decision and reasons</t>
  </si>
  <si>
    <t xml:space="preserve">CCB record; plan/INPUTS.md §5</t>
  </si>
  <si>
    <t xml:space="preserve">2.2.2</t>
  </si>
  <si>
    <t xml:space="preserve">If approved: rebaseline backlog, AC, Release Plan v1.1, risk register; tag baseline-v1.1; inform stakeholders</t>
  </si>
  <si>
    <t xml:space="preserve">Rebaselined plan + tag</t>
  </si>
  <si>
    <t xml:space="preserve">2.2.3</t>
  </si>
  <si>
    <t xml:space="preserve">c4_ChangeRequest_CR01 form (impact analysis, CCB decision, baseline update)</t>
  </si>
  <si>
    <t xml:space="preserve">c4_ChangeRequest_CR01.docx</t>
  </si>
  <si>
    <t xml:space="preserve">2.2.4</t>
  </si>
  <si>
    <t xml:space="preserve">Weekly Status Report; update Risk Register and Issue Log</t>
  </si>
  <si>
    <t xml:space="preserve">Status report; risk/issue log</t>
  </si>
  <si>
    <t xml:space="preserve">2.2.5</t>
  </si>
  <si>
    <t xml:space="preserve">c2_SprintBacklog_S2 + c3_SprintReport_S2 + c0_Eval_S2 + upload</t>
  </si>
  <si>
    <t xml:space="preserve">c2, c3, c0 – Sprint 2</t>
  </si>
  <si>
    <t xml:space="preserve">2.3</t>
  </si>
  <si>
    <t xml:space="preserve">Development – F2 and F3</t>
  </si>
  <si>
    <t xml:space="preserve">2.3.1</t>
  </si>
  <si>
    <t xml:space="preserve">Data model: books, categories, authors (hidden flag for soft delete)</t>
  </si>
  <si>
    <t xml:space="preserve">Reviewed PR; migration</t>
  </si>
  <si>
    <t xml:space="preserve">2.3.2</t>
  </si>
  <si>
    <t xml:space="preserve">US-24 Manage categories (API + screens + validation)</t>
  </si>
  <si>
    <t xml:space="preserve">2.3.3</t>
  </si>
  <si>
    <t xml:space="preserve">US-25 Manage authors (API + screens + validation)</t>
  </si>
  <si>
    <t xml:space="preserve">2.3.4</t>
  </si>
  <si>
    <t xml:space="preserve">US-08 Add book – API and server validation (price &gt; 0, required fields)</t>
  </si>
  <si>
    <t xml:space="preserve">2.3.5</t>
  </si>
  <si>
    <t xml:space="preserve">US-08 Add book – form, cover image, client validation</t>
  </si>
  <si>
    <t xml:space="preserve">2.3.6</t>
  </si>
  <si>
    <t xml:space="preserve">US-09 Edit book</t>
  </si>
  <si>
    <t xml:space="preserve">2.3.7</t>
  </si>
  <si>
    <t xml:space="preserve">US-10 Delete book = hide (no hard delete)</t>
  </si>
  <si>
    <t xml:space="preserve">2.3.8</t>
  </si>
  <si>
    <t xml:space="preserve">NFR-01 Seed ≥ 30 sample books</t>
  </si>
  <si>
    <t xml:space="preserve">Seed script</t>
  </si>
  <si>
    <t xml:space="preserve">2.3.9</t>
  </si>
  <si>
    <t xml:space="preserve">US-05 Book list – card grid (cover, title, author, price), responsive</t>
  </si>
  <si>
    <t xml:space="preserve">2.3.10</t>
  </si>
  <si>
    <t xml:space="preserve">US-05 Pagination 12 per page, newest first; measure list load &lt; 2 s</t>
  </si>
  <si>
    <t xml:space="preserve">Reviewed PR; timing evidence</t>
  </si>
  <si>
    <t xml:space="preserve">2.3.11</t>
  </si>
  <si>
    <t xml:space="preserve">US-21 Responsive and cross-browser check (desktop, tablet, phone)</t>
  </si>
  <si>
    <t xml:space="preserve">Screenshots</t>
  </si>
  <si>
    <t xml:space="preserve">2.4</t>
  </si>
  <si>
    <t xml:space="preserve">Testing – F2 and F3</t>
  </si>
  <si>
    <t xml:space="preserve">2.4.1</t>
  </si>
  <si>
    <t xml:space="preserve">Write F2 and F3 test cases from the AC</t>
  </si>
  <si>
    <t xml:space="preserve">Test cases F2, F3</t>
  </si>
  <si>
    <t xml:space="preserve">2.4.2</t>
  </si>
  <si>
    <t xml:space="preserve">Execute F2/F3 test cases + F1 regression; record actual results</t>
  </si>
  <si>
    <t xml:space="preserve">2.4.3</t>
  </si>
  <si>
    <t xml:space="preserve">Code review of F2/F3 pull requests</t>
  </si>
  <si>
    <t xml:space="preserve">M5</t>
  </si>
  <si>
    <t xml:space="preserve">◆ SPRINT 2 SUBMISSION – 23:59 Thu 05/11</t>
  </si>
  <si>
    <t xml:space="preserve">3</t>
  </si>
  <si>
    <t xml:space="preserve">SPRINT 3 (Fri 06/11 – Thu 12/11) – Complete Release 1.0 &amp; acceptance  |  Leader: Hồ Du Tuấn Đạt</t>
  </si>
  <si>
    <t xml:space="preserve">Sprint Goal: a Customer can open a book's details and search/filter the catalogue together with pagination – F4 and F5 meet all their AC, F1–F3 pass regression, v1.0 is tagged and ready for UAT.</t>
  </si>
  <si>
    <t xml:space="preserve">3.1</t>
  </si>
  <si>
    <t xml:space="preserve">3.1.1</t>
  </si>
  <si>
    <t xml:space="preserve">◆ Review &amp; Retro 2 in class, Fri 06/11 (Chính presents)</t>
  </si>
  <si>
    <t xml:space="preserve">3.1.2</t>
  </si>
  <si>
    <t xml:space="preserve">Sprint Planning 3 with the ACTUAL Sprint 2 velocity → S3_Backlog → Jira</t>
  </si>
  <si>
    <t xml:space="preserve">S3_Backlog; Jira Sprint 3</t>
  </si>
  <si>
    <t xml:space="preserve">3.1.3</t>
  </si>
  <si>
    <t xml:space="preserve">Daily Scrum S3 + daily board and hours update</t>
  </si>
  <si>
    <t xml:space="preserve">3.2</t>
  </si>
  <si>
    <t xml:space="preserve">Project management &amp; release</t>
  </si>
  <si>
    <t xml:space="preserve">3.2.1</t>
  </si>
  <si>
    <t xml:space="preserve">UAT script mapped to every AC (incl. CR-06 if approved)</t>
  </si>
  <si>
    <t xml:space="preserve">pm/uat/uat-script.md</t>
  </si>
  <si>
    <t xml:space="preserve">3.2.2</t>
  </si>
  <si>
    <t xml:space="preserve">Release v1.0: PR develop → main, tag v1.0, release notes</t>
  </si>
  <si>
    <t xml:space="preserve">Tag v1.0; release notes</t>
  </si>
  <si>
    <t xml:space="preserve">3.2.3</t>
  </si>
  <si>
    <t xml:space="preserve">EVM draft (PV, EV, AC, SV, CV, SPI, CPI, EAC, ETC) from Jira hours</t>
  </si>
  <si>
    <t xml:space="preserve">EVM sheet (draft)</t>
  </si>
  <si>
    <t xml:space="preserve">3.2.4</t>
  </si>
  <si>
    <t xml:space="preserve">c2_SprintBacklog_S3 + c3_SprintReport_S3 + c5_UAT + c0_Eval_S3 + upload</t>
  </si>
  <si>
    <t xml:space="preserve">c2, c3, c5, c0 – Sprint 3</t>
  </si>
  <si>
    <t xml:space="preserve">3.3</t>
  </si>
  <si>
    <t xml:space="preserve">Development – F4 and F5</t>
  </si>
  <si>
    <t xml:space="preserve">3.3.1</t>
  </si>
  <si>
    <t xml:space="preserve">US-07 Book details page (API + screen)</t>
  </si>
  <si>
    <t xml:space="preserve">3.3.2</t>
  </si>
  <si>
    <t xml:space="preserve">US-07 Unknown ID → friendly message; Back returns to the same list page</t>
  </si>
  <si>
    <t xml:space="preserve">3.3.3</t>
  </si>
  <si>
    <t xml:space="preserve">US-06 Search by title or author (API)</t>
  </si>
  <si>
    <t xml:space="preserve">3.3.4</t>
  </si>
  <si>
    <t xml:space="preserve">US-06 Filter by category and price range (API)</t>
  </si>
  <si>
    <t xml:space="preserve">3.3.5</t>
  </si>
  <si>
    <t xml:space="preserve">US-06 Search/filter screen working with pagination (state kept in the URL)</t>
  </si>
  <si>
    <t xml:space="preserve">3.4</t>
  </si>
  <si>
    <t xml:space="preserve">Testing – F4 and F5</t>
  </si>
  <si>
    <t xml:space="preserve">3.4.1</t>
  </si>
  <si>
    <t xml:space="preserve">Write F4 and F5 test cases from the AC</t>
  </si>
  <si>
    <t xml:space="preserve">Test cases F4, F5</t>
  </si>
  <si>
    <t xml:space="preserve">3.4.2</t>
  </si>
  <si>
    <t xml:space="preserve">Execute F4/F5 test cases + regression F1–F3 + list &lt; 2 s check; fix defects</t>
  </si>
  <si>
    <t xml:space="preserve">Test results; defect log</t>
  </si>
  <si>
    <t xml:space="preserve">3.4.3</t>
  </si>
  <si>
    <t xml:space="preserve">Code review of F4/F5 pull requests</t>
  </si>
  <si>
    <t xml:space="preserve">M7</t>
  </si>
  <si>
    <t xml:space="preserve">◆ RELEASE v1.0 + SPRINT 3 SUBMISSION – 23:59 Thu 12/11</t>
  </si>
  <si>
    <t xml:space="preserve">4</t>
  </si>
  <si>
    <t xml:space="preserve">CONSOLIDATION &amp; CLOSURE (Fri 13/11 – Tue 17/11)  |  Whole team</t>
  </si>
  <si>
    <t xml:space="preserve">Goal: Release 1.0 accepted at UAT and online until 17/11; final package submitted on time; every member presents.</t>
  </si>
  <si>
    <t xml:space="preserve">4.1</t>
  </si>
  <si>
    <t xml:space="preserve">Acceptance and hand-over</t>
  </si>
  <si>
    <t xml:space="preserve">4.1.1</t>
  </si>
  <si>
    <t xml:space="preserve">◆ Review 3 + UAT with the customer; acceptance record</t>
  </si>
  <si>
    <t xml:space="preserve">Signed acceptance record</t>
  </si>
  <si>
    <t xml:space="preserve">4.1.2</t>
  </si>
  <si>
    <t xml:space="preserve">Final hosting check, demo accounts (admin, customer), closure data</t>
  </si>
  <si>
    <t xml:space="preserve">URL; demo accounts; closure data</t>
  </si>
  <si>
    <t xml:space="preserve">4.2</t>
  </si>
  <si>
    <t xml:space="preserve">Closure documents and presentation</t>
  </si>
  <si>
    <t xml:space="preserve">4.2.1</t>
  </si>
  <si>
    <t xml:space="preserve">Final Report: plan vs. actual, EVM, risks &amp; changes, closure checklist, Lessons Learned ≥ 5, AI declaration</t>
  </si>
  <si>
    <t xml:space="preserve">c6_FinalReport.docx</t>
  </si>
  <si>
    <t xml:space="preserve">4.2.2</t>
  </si>
  <si>
    <t xml:space="preserve">PMP Final + Workbook Final (EVM sheet)</t>
  </si>
  <si>
    <t xml:space="preserve">c1_ProjectPlan_Final, c2_SprintBacklog_Final</t>
  </si>
  <si>
    <t xml:space="preserve">4.2.3</t>
  </si>
  <si>
    <t xml:space="preserve">Slides (font ≥ 20 pt) + demo video ≤ 3 min (pass and fail AC)</t>
  </si>
  <si>
    <t xml:space="preserve">c6_Slides; video link</t>
  </si>
  <si>
    <t xml:space="preserve">4.2.4</t>
  </si>
  <si>
    <t xml:space="preserve">Final submission + one Eval360 file per member</t>
  </si>
  <si>
    <t xml:space="preserve">All final files</t>
  </si>
  <si>
    <t xml:space="preserve">4.2.5</t>
  </si>
  <si>
    <t xml:space="preserve">Rehearsal; keep the website online until the end of 17/11</t>
  </si>
  <si>
    <t xml:space="preserve">Rehearsal notes</t>
  </si>
  <si>
    <t xml:space="preserve">M10</t>
  </si>
  <si>
    <t xml:space="preserve">◆ FINAL PRESENTATION – 07:00 Tue 17/11</t>
  </si>
  <si>
    <t xml:space="preserve">Total effort Sprints 1–3 (h) – basis of BAC</t>
  </si>
  <si>
    <t xml:space="preserve">Closure effort (h) – after Sprint 3, outside BAC (PV is defined over N = 3 Sprints)</t>
  </si>
  <si>
    <t xml:space="preserve">PRODUCT BACKLOG ALLOCATION PER SPRINT (proposed rebaseline v0 → v1.0)</t>
  </si>
  <si>
    <t xml:space="preserve">IDs kept from TA Product Backlog v0 (23 items, 99 SP); new items numbered from US-24. SP = final Planning Poker result from sheet 8 (empty until the session is held).</t>
  </si>
  <si>
    <t xml:space="preserve">US ID</t>
  </si>
  <si>
    <t xml:space="preserve">Feature</t>
  </si>
  <si>
    <t xml:space="preserve">Epic</t>
  </si>
  <si>
    <t xml:space="preserve">User Story (short)</t>
  </si>
  <si>
    <t xml:space="preserve">SP</t>
  </si>
  <si>
    <t xml:space="preserve">MoSCoW</t>
  </si>
  <si>
    <t xml:space="preserve">Main developer</t>
  </si>
  <si>
    <t xml:space="preserve">Change vs. previous backlog (v0 SP in brackets)</t>
  </si>
  <si>
    <t xml:space="preserve">US-01</t>
  </si>
  <si>
    <t xml:space="preserve">F1</t>
  </si>
  <si>
    <t xml:space="preserve">EP-01 User Accounts</t>
  </si>
  <si>
    <t xml:space="preserve">Customer registers with email and password; hashed password; client + server validation</t>
  </si>
  <si>
    <t xml:space="preserve">Must</t>
  </si>
  <si>
    <t xml:space="preserve">Changed – email confirmation dropped (not in F1); hashing and validation added → re-estimate [v0: 3 SP]</t>
  </si>
  <si>
    <t xml:space="preserve">US-02</t>
  </si>
  <si>
    <t xml:space="preserve">User logs in and logs out</t>
  </si>
  <si>
    <t xml:space="preserve">Changed – password reset/lockout not required by F1 (PO to confirm) → re-estimate [v0: 3 SP]</t>
  </si>
  <si>
    <t xml:space="preserve">US-03</t>
  </si>
  <si>
    <t xml:space="preserve">Administrator creates and locks accounts; roles Administrator / Customer; admin functions blocked on the server</t>
  </si>
  <si>
    <t xml:space="preserve">Rewritten – Store Manager/Staff roles removed from R1.0 [05 #6] → re-estimate [v0: 5 SP]</t>
  </si>
  <si>
    <t xml:space="preserve">NFR-02</t>
  </si>
  <si>
    <t xml:space="preserve">NFR</t>
  </si>
  <si>
    <t xml:space="preserve">EP-08 Quality (NFR)</t>
  </si>
  <si>
    <t xml:space="preserve">Release hosted on a free server, reachable by the lecturer, online until 17/11</t>
  </si>
  <si>
    <t xml:space="preserve">New – deployed in Sprint 1 so every Increment is demonstrated online [new]</t>
  </si>
  <si>
    <t xml:space="preserve">US-08</t>
  </si>
  <si>
    <t xml:space="preserve">F2</t>
  </si>
  <si>
    <t xml:space="preserve">EP-03 Book Management</t>
  </si>
  <si>
    <t xml:space="preserve">Administrator adds a book: title, author, category, price &gt; 0, description, cover image, stock</t>
  </si>
  <si>
    <t xml:space="preserve">Changed – mandatory ISBN dropped, description/stock added → re-estimate [v0: 5 SP]</t>
  </si>
  <si>
    <t xml:space="preserve">US-09</t>
  </si>
  <si>
    <t xml:space="preserve">Administrator edits book information</t>
  </si>
  <si>
    <t xml:space="preserve">Kept – price-change log removed [v0: 3 SP]</t>
  </si>
  <si>
    <t xml:space="preserve">US-10</t>
  </si>
  <si>
    <t xml:space="preserve">Administrator deletes a book = hidden, no hard delete</t>
  </si>
  <si>
    <t xml:space="preserve">Kept [v0: 2 SP]</t>
  </si>
  <si>
    <t xml:space="preserve">US-24</t>
  </si>
  <si>
    <t xml:space="preserve">Administrator manages categories</t>
  </si>
  <si>
    <t xml:space="preserve">New – required by F2 [05 #5] [new]</t>
  </si>
  <si>
    <t xml:space="preserve">US-25</t>
  </si>
  <si>
    <t xml:space="preserve">Administrator manages authors</t>
  </si>
  <si>
    <t xml:space="preserve">US-05</t>
  </si>
  <si>
    <t xml:space="preserve">F3</t>
  </si>
  <si>
    <t xml:space="preserve">EP-02 Book Catalog</t>
  </si>
  <si>
    <t xml:space="preserve">Customer browses a card grid (cover, title, author, price), 12 per page, newest first</t>
  </si>
  <si>
    <t xml:space="preserve">Changed – 20 → 12 per page; sort options removed [05 #2] → re-estimate [v0: 3 SP]</t>
  </si>
  <si>
    <t xml:space="preserve">NFR-01</t>
  </si>
  <si>
    <t xml:space="preserve">≥ 30 sample books; list page loads in &lt; 2 s</t>
  </si>
  <si>
    <t xml:space="preserve">New [05 #8] [new]</t>
  </si>
  <si>
    <t xml:space="preserve">US-21</t>
  </si>
  <si>
    <t xml:space="preserve">Responsive, cross-browser layout (desktop, tablet, phone)</t>
  </si>
  <si>
    <t xml:space="preserve">Kept – checked with F3; PO may move it into the Story DoD [05 #9] [v0: 5 SP]</t>
  </si>
  <si>
    <t xml:space="preserve">US-07</t>
  </si>
  <si>
    <t xml:space="preserve">F4</t>
  </si>
  <si>
    <t xml:space="preserve">Book details page; unknown ID → friendly message; Back returns to the same list page</t>
  </si>
  <si>
    <t xml:space="preserve">Changed – 'Add to cart' removed; 2 AC added [05 #4] → re-estimate [v0: 3 SP]</t>
  </si>
  <si>
    <t xml:space="preserve">US-06</t>
  </si>
  <si>
    <t xml:space="preserve">F5</t>
  </si>
  <si>
    <t xml:space="preserve">Search by title or author; filter by category and price range; works with pagination</t>
  </si>
  <si>
    <t xml:space="preserve">Changed – ISBN/genre removed; price range + pagination added [05 #3] → re-estimate [v0: 5 SP]</t>
  </si>
  <si>
    <t xml:space="preserve">US-26</t>
  </si>
  <si>
    <t xml:space="preserve">F1, F2</t>
  </si>
  <si>
    <t xml:space="preserve">CR-06: Store Staff role and permissions</t>
  </si>
  <si>
    <t xml:space="preserve">CCB decides</t>
  </si>
  <si>
    <t xml:space="preserve">CR-06</t>
  </si>
  <si>
    <t xml:space="preserve">Change Request – only after CCB approval (baseline v1.1) [new]</t>
  </si>
  <si>
    <t xml:space="preserve">US-27</t>
  </si>
  <si>
    <t xml:space="preserve">CR-06: book shows 'Last updated by … at …'</t>
  </si>
  <si>
    <t xml:space="preserve">US-04</t>
  </si>
  <si>
    <t xml:space="preserve">—</t>
  </si>
  <si>
    <t xml:space="preserve">Profile and delivery addresses</t>
  </si>
  <si>
    <t xml:space="preserve">Won't (R1.0)</t>
  </si>
  <si>
    <t xml:space="preserve">Future</t>
  </si>
  <si>
    <t xml:space="preserve">Depends on checkout – out of R1.0 scope [v0: 2 SP]</t>
  </si>
  <si>
    <t xml:space="preserve">US-11</t>
  </si>
  <si>
    <t xml:space="preserve">EP-04 Cart &amp; Checkout</t>
  </si>
  <si>
    <t xml:space="preserve">Shopping cart</t>
  </si>
  <si>
    <t xml:space="preserve">Out of scope per the spec [03 §2.2] [v0: 5 SP]</t>
  </si>
  <si>
    <t xml:space="preserve">US-12</t>
  </si>
  <si>
    <t xml:space="preserve">Checkout and online payment</t>
  </si>
  <si>
    <t xml:space="preserve">Out of scope per the spec [03 §2.2] [v0: 8 SP]</t>
  </si>
  <si>
    <t xml:space="preserve">US-13</t>
  </si>
  <si>
    <t xml:space="preserve">Order history and tracking</t>
  </si>
  <si>
    <t xml:space="preserve">Depends on orders [v0: 3 SP]</t>
  </si>
  <si>
    <t xml:space="preserve">US-14</t>
  </si>
  <si>
    <t xml:space="preserve">Staff process orders</t>
  </si>
  <si>
    <t xml:space="preserve">Depends on orders [v0: 5 SP]</t>
  </si>
  <si>
    <t xml:space="preserve">US-15</t>
  </si>
  <si>
    <t xml:space="preserve">EP-05 Promotions</t>
  </si>
  <si>
    <t xml:space="preserve">Create promotions</t>
  </si>
  <si>
    <t xml:space="preserve">Not in F1–F5 [v0: 5 SP]</t>
  </si>
  <si>
    <t xml:space="preserve">US-16</t>
  </si>
  <si>
    <t xml:space="preserve">Apply a promotion code at checkout</t>
  </si>
  <si>
    <t xml:space="preserve">Depends on checkout [v0: 3 SP]</t>
  </si>
  <si>
    <t xml:space="preserve">US-17</t>
  </si>
  <si>
    <t xml:space="preserve">EP-06 Multi-store</t>
  </si>
  <si>
    <t xml:space="preserve">Manage stores and stock per store</t>
  </si>
  <si>
    <t xml:space="preserve">Not in F1–F5 [v0: 8 SP]</t>
  </si>
  <si>
    <t xml:space="preserve">US-18</t>
  </si>
  <si>
    <t xml:space="preserve">Store availability and pickup</t>
  </si>
  <si>
    <t xml:space="preserve">US-19</t>
  </si>
  <si>
    <t xml:space="preserve">EP-07 Customer Engagement</t>
  </si>
  <si>
    <t xml:space="preserve">Ratings and reviews</t>
  </si>
  <si>
    <t xml:space="preserve">Requires purchase data [v0: 5 SP]</t>
  </si>
  <si>
    <t xml:space="preserve">US-20</t>
  </si>
  <si>
    <t xml:space="preserve">Wishlist</t>
  </si>
  <si>
    <t xml:space="preserve">Not in F1–F5 [v0: 2 SP]</t>
  </si>
  <si>
    <t xml:space="preserve">US-22</t>
  </si>
  <si>
    <t xml:space="preserve">Distinctive brand theme</t>
  </si>
  <si>
    <t xml:space="preserve">PO to decide – 'own style' partly covered by the UI design [v0: 3 SP]</t>
  </si>
  <si>
    <t xml:space="preserve">US-23</t>
  </si>
  <si>
    <t xml:space="preserve">Book recommendations</t>
  </si>
  <si>
    <t xml:space="preserve">Already Won't in v0 [v0: 8 SP]</t>
  </si>
  <si>
    <t xml:space="preserve">Summary</t>
  </si>
  <si>
    <t xml:space="preserve">Items</t>
  </si>
  <si>
    <t xml:space="preserve">Release 1.0 total (PSP) = Sprints 1–3</t>
  </si>
  <si>
    <t xml:space="preserve">Total backlog items (required ≥ 15)</t>
  </si>
  <si>
    <t xml:space="preserve">RELEASE PLAN, CAPACITY &amp; BUDGET (BAC)</t>
  </si>
  <si>
    <t xml:space="preserve">Yellow = editable assumptions/inputs; blue = sourced constants; all other cells are formulas.</t>
  </si>
  <si>
    <t xml:space="preserve">Assumptions</t>
  </si>
  <si>
    <t xml:space="preserve">Team members</t>
  </si>
  <si>
    <t xml:space="preserve">Hồ Du Tuấn Đạt, Nguyễn Minh Chính</t>
  </si>
  <si>
    <t xml:space="preserve">Hours / person / Sprint (planned capacity)</t>
  </si>
  <si>
    <t xml:space="preserve">Assumption set by the PO on 30/10/2026: 4 h per day × 7 days (same daily figure as the TA Work Plan, Assign.xlsx). Đạt to confirm.</t>
  </si>
  <si>
    <t xml:space="preserve">Number of Sprints (N)</t>
  </si>
  <si>
    <t xml:space="preserve">Per the spec [03 §5]</t>
  </si>
  <si>
    <t xml:space="preserve">Rate (VND / person-hour)</t>
  </si>
  <si>
    <t xml:space="preserve">Per the spec – AgileEVM [03 §6.4]</t>
  </si>
  <si>
    <t xml:space="preserve">Reference velocity (SP per TA Sprint)</t>
  </si>
  <si>
    <t xml:space="preserve">TA Sprint 1 plan: 22 SP selected against 80 h team capacity (2 people × 10 days × 4 h) [04 §5]</t>
  </si>
  <si>
    <t xml:space="preserve">Reference capacity of that Sprint (h)</t>
  </si>
  <si>
    <t xml:space="preserve">[04 §5]</t>
  </si>
  <si>
    <t xml:space="preserve">Expected velocity (SP / Sprint)</t>
  </si>
  <si>
    <t xml:space="preserve">Reference velocity × team capacity ÷ reference capacity. Replaced by the ACTUAL velocity from Sprint 2 planning on [03 §6.2 item 1]</t>
  </si>
  <si>
    <t xml:space="preserve">Plan per Sprint</t>
  </si>
  <si>
    <t xml:space="preserve">Leader</t>
  </si>
  <si>
    <t xml:space="preserve">Sprint Goal</t>
  </si>
  <si>
    <t xml:space="preserve">Features</t>
  </si>
  <si>
    <t xml:space="preserve">Planned SP</t>
  </si>
  <si>
    <t xml:space="preserve">Capacity (h)</t>
  </si>
  <si>
    <t xml:space="preserve">WBS planned effort (h)</t>
  </si>
  <si>
    <t xml:space="preserve">Hours / SP</t>
  </si>
  <si>
    <t xml:space="preserve">Cumulative PV (VND)</t>
  </si>
  <si>
    <t xml:space="preserve">SP vs. velocity</t>
  </si>
  <si>
    <t xml:space="preserve">Hours vs. capacity</t>
  </si>
  <si>
    <t xml:space="preserve">23/10 – 29/10</t>
  </si>
  <si>
    <t xml:space="preserve">F1 + hosting</t>
  </si>
  <si>
    <t xml:space="preserve">30/10 – 05/11</t>
  </si>
  <si>
    <t xml:space="preserve">F2, F3 (+ CR-06 if approved)</t>
  </si>
  <si>
    <t xml:space="preserve">06/11 – 12/11</t>
  </si>
  <si>
    <t xml:space="preserve">F4, F5 + Release v1.0</t>
  </si>
  <si>
    <t xml:space="preserve">Total</t>
  </si>
  <si>
    <t xml:space="preserve">Baseline metrics</t>
  </si>
  <si>
    <t xml:space="preserve">Metric</t>
  </si>
  <si>
    <t xml:space="preserve">Value</t>
  </si>
  <si>
    <t xml:space="preserve">Formula / note</t>
  </si>
  <si>
    <t xml:space="preserve">BAC (VND) = total WBS planned hours (Sprints 1–3) × rate</t>
  </si>
  <si>
    <t xml:space="preserve">Effort hours are proposals (sheet 2) – team to confirm</t>
  </si>
  <si>
    <t xml:space="preserve">PSP – total planned Story Points of Release 1.0</t>
  </si>
  <si>
    <t xml:space="preserve">TBD until the Planning Poker session (sheet 8)</t>
  </si>
  <si>
    <t xml:space="preserve">PSP matches sheet 3</t>
  </si>
  <si>
    <t xml:space="preserve">Average planned hours / SP</t>
  </si>
  <si>
    <t xml:space="preserve">Closure effort (h) – outside BAC</t>
  </si>
  <si>
    <t xml:space="preserve">13/11 – 17/11, after the 3 Sprints</t>
  </si>
  <si>
    <t xml:space="preserve">Rebaseline after CR-06 (only if the CCB approves)</t>
  </si>
  <si>
    <t xml:space="preserve">Source / note</t>
  </si>
  <si>
    <t xml:space="preserve">CCB decision</t>
  </si>
  <si>
    <t xml:space="preserve">Approved / Rejected / Deferred – enter after the CCB</t>
  </si>
  <si>
    <t xml:space="preserve">CR-06 hours added</t>
  </si>
  <si>
    <t xml:space="preserve">Proposed in pm/change/CR-06-impact-analysis.md §5 – update after the CCB</t>
  </si>
  <si>
    <t xml:space="preserve">BAC v1.1 (VND)</t>
  </si>
  <si>
    <t xml:space="preserve">Baseline v1.0 is kept; v1.1 is added [03 §6.2 item 3]</t>
  </si>
  <si>
    <t xml:space="preserve">PSP v1.1 (SP)</t>
  </si>
  <si>
    <t xml:space="preserve">Note: Sprint Planning 2 and 3 use the ACTUAL velocity of the previous Sprint, not the expected figure [03 §6.2 item 1]. A 2-member team adjusts capacity and the plan, never the F1–F5 scope [03 §2.2].</t>
  </si>
  <si>
    <t xml:space="preserve">ROLES &amp; DOCUMENT RESPONSIBILITIES</t>
  </si>
  <si>
    <t xml:space="preserve">A = accountable (one per row) · R = does the work · C = consulted / reviews · I = informed</t>
  </si>
  <si>
    <t xml:space="preserve">Notes</t>
  </si>
  <si>
    <t xml:space="preserve">Scrum role</t>
  </si>
  <si>
    <t xml:space="preserve">Developer; Sprint Leader S1, S3</t>
  </si>
  <si>
    <t xml:space="preserve">Product Owner + Developer; Sprint Leader S2</t>
  </si>
  <si>
    <t xml:space="preserve">Fixed PO, rotating Leader [03 §4.1]</t>
  </si>
  <si>
    <t xml:space="preserve">PMP 1 – Project Charter</t>
  </si>
  <si>
    <t xml:space="preserve">C</t>
  </si>
  <si>
    <t xml:space="preserve">A/R</t>
  </si>
  <si>
    <t xml:space="preserve">From Lab 1–2 (Chính was Project Lead / BA)</t>
  </si>
  <si>
    <t xml:space="preserve">PMP 2 – Tailored Scrum process</t>
  </si>
  <si>
    <t xml:space="preserve">From TA Process.docx</t>
  </si>
  <si>
    <t xml:space="preserve">PMP 3 – Master / Release Plan</t>
  </si>
  <si>
    <t xml:space="preserve">This workbook</t>
  </si>
  <si>
    <t xml:space="preserve">PMP 4 – Quality plan (3-level DoD, metrics)</t>
  </si>
  <si>
    <t xml:space="preserve">PO accepts Done items</t>
  </si>
  <si>
    <t xml:space="preserve">PMP 5 – Risk management plan</t>
  </si>
  <si>
    <t xml:space="preserve">Risks reviewed every Sprint</t>
  </si>
  <si>
    <t xml:space="preserve">PMP 6 – Configuration management plan</t>
  </si>
  <si>
    <t xml:space="preserve">Repo owner</t>
  </si>
  <si>
    <t xml:space="preserve">PMP 7 – Communication plan</t>
  </si>
  <si>
    <t xml:space="preserve">From Lab 1 §4 (Đạt) and Assign.xlsx</t>
  </si>
  <si>
    <t xml:space="preserve">Product Backlog, AC, Definition of Ready</t>
  </si>
  <si>
    <t xml:space="preserve">PO orders the backlog</t>
  </si>
  <si>
    <t xml:space="preserve">Planning Poker (log + evidence)</t>
  </si>
  <si>
    <t xml:space="preserve">R</t>
  </si>
  <si>
    <t xml:space="preserve">Both vote; PO reads the stories</t>
  </si>
  <si>
    <t xml:space="preserve">Sprint Backlog + Jira (each Sprint)</t>
  </si>
  <si>
    <t xml:space="preserve">A/R in S1, S3</t>
  </si>
  <si>
    <t xml:space="preserve">A/R in S2</t>
  </si>
  <si>
    <t xml:space="preserve">Sprint Leader keeps the board current</t>
  </si>
  <si>
    <t xml:space="preserve">Change Request CR-06 &amp; CCB</t>
  </si>
  <si>
    <t xml:space="preserve">R (reviews impact analysis)</t>
  </si>
  <si>
    <t xml:space="preserve">A/R (PO in the CCB)</t>
  </si>
  <si>
    <t xml:space="preserve">Sponsor decides</t>
  </si>
  <si>
    <t xml:space="preserve">Rebaseline + configuration tags</t>
  </si>
  <si>
    <t xml:space="preserve">R (tags)</t>
  </si>
  <si>
    <t xml:space="preserve">baseline-v1.0, baseline-v1.1, v1.0</t>
  </si>
  <si>
    <t xml:space="preserve">Test cases from AC</t>
  </si>
  <si>
    <t xml:space="preserve">R (F2, F3)</t>
  </si>
  <si>
    <t xml:space="preserve">A/R (F1, F4, F5)</t>
  </si>
  <si>
    <t xml:space="preserve">≥ 1 test case per AC</t>
  </si>
  <si>
    <t xml:space="preserve">UAT script &amp; acceptance record</t>
  </si>
  <si>
    <t xml:space="preserve">Run at Review 3 (13/11)</t>
  </si>
  <si>
    <t xml:space="preserve">Hosting &amp; Release v1.0</t>
  </si>
  <si>
    <t xml:space="preserve">Tag v1.0 + release notes</t>
  </si>
  <si>
    <t xml:space="preserve">EVM &amp; Final Report</t>
  </si>
  <si>
    <t xml:space="preserve">R (PMP / Workbook Final)</t>
  </si>
  <si>
    <t xml:space="preserve">A/R (Final Report, EVM)</t>
  </si>
  <si>
    <t xml:space="preserve">Hours from Jira Completed Work</t>
  </si>
  <si>
    <t xml:space="preserve">Slides &amp; demo video</t>
  </si>
  <si>
    <t xml:space="preserve">Everyone presents</t>
  </si>
  <si>
    <t xml:space="preserve">Member evaluation c0_Eval</t>
  </si>
  <si>
    <t xml:space="preserve">Sprint 1, Sprint 3</t>
  </si>
  <si>
    <t xml:space="preserve">Sprint Leader evaluates members</t>
  </si>
  <si>
    <t xml:space="preserve">Development Story Points per person (main developer, sheet 3)</t>
  </si>
  <si>
    <t xml:space="preserve">Member</t>
  </si>
  <si>
    <t xml:space="preserve">Total SP</t>
  </si>
  <si>
    <t xml:space="preserve">Planned hours per person (sheet 2, 'Both' split 50/50) vs. capacity</t>
  </si>
  <si>
    <t xml:space="preserve">Capacity per person (h)</t>
  </si>
  <si>
    <t xml:space="preserve">SUBMISSION SCHEDULE &amp; FILE NAMES</t>
  </si>
  <si>
    <t xml:space="preserve">Prefix HK261_SPM_FP_Team6_ · upload files individually, no zip · Excel files are cumulative · late: −10 % of the Sprint score per 5 h [03 §4.2, §7]</t>
  </si>
  <si>
    <t xml:space="preserve">Submission</t>
  </si>
  <si>
    <t xml:space="preserve">Due</t>
  </si>
  <si>
    <t xml:space="preserve">Submitted by</t>
  </si>
  <si>
    <t xml:space="preserve">File name</t>
  </si>
  <si>
    <t xml:space="preserve">Content</t>
  </si>
  <si>
    <t xml:space="preserve">Submitted?</t>
  </si>
  <si>
    <t xml:space="preserve">eLearning item</t>
  </si>
  <si>
    <t xml:space="preserve">26/10 19:35 (late)</t>
  </si>
  <si>
    <t xml:space="preserve">HK261_SPM_FP_Team6_MasterPlan.xlsx</t>
  </si>
  <si>
    <t xml:space="preserve">FinalProject: Master Plan and Timeline – this workbook</t>
  </si>
  <si>
    <t xml:space="preserve">No</t>
  </si>
  <si>
    <t xml:space="preserve">23:59 Thu 29/10</t>
  </si>
  <si>
    <t xml:space="preserve">HK261_SPM_FP_Team6_c1_ProjectPlan.docx</t>
  </si>
  <si>
    <t xml:space="preserve">PMP v1.0 (7 parts)</t>
  </si>
  <si>
    <t xml:space="preserve">HK261_SPM_FP_Team6_c2_SprintBacklog_S1.xlsx</t>
  </si>
  <si>
    <t xml:space="preserve">Product Backlog, Planning Poker log, Release Plan, Sprint Backlog S1, Burndown, Risk Register, Config Items</t>
  </si>
  <si>
    <t xml:space="preserve">HK261_SPM_FP_Team6_c3_SprintReport_S1.docx</t>
  </si>
  <si>
    <t xml:space="preserve">Sprint Planning, Daily log, F1 test cases, Review, Retro, Status</t>
  </si>
  <si>
    <t xml:space="preserve">HK261_SPM_FP_Team6_c0_Eval_S1.xlsx</t>
  </si>
  <si>
    <t xml:space="preserve">Leader evaluates members</t>
  </si>
  <si>
    <t xml:space="preserve">23:59 Thu 05/11</t>
  </si>
  <si>
    <t xml:space="preserve">HK261_SPM_FP_Team6_c2_SprintBacklog_S2.xlsx</t>
  </si>
  <si>
    <t xml:space="preserve">Updated workbook (Change Log, Risk, Issue Log, S2)</t>
  </si>
  <si>
    <t xml:space="preserve">HK261_SPM_FP_Team6_c3_SprintReport_S2.docx</t>
  </si>
  <si>
    <t xml:space="preserve">Sprint 2 report + F2, F3 test cases + Weekly Status</t>
  </si>
  <si>
    <t xml:space="preserve">HK261_SPM_FP_Team6_c4_ChangeRequest_CR01.docx</t>
  </si>
  <si>
    <t xml:space="preserve">CR form, impact analysis, CCB decision (CR01 vs CR06 file name: ask the lecturer)</t>
  </si>
  <si>
    <t xml:space="preserve">HK261_SPM_FP_Team6_c0_Eval_S2.xlsx</t>
  </si>
  <si>
    <t xml:space="preserve">23:59 Thu 12/11</t>
  </si>
  <si>
    <t xml:space="preserve">HK261_SPM_FP_Team6_c2_SprintBacklog_S3.xlsx</t>
  </si>
  <si>
    <t xml:space="preserve">Updated workbook (S3, draft EVM)</t>
  </si>
  <si>
    <t xml:space="preserve">HK261_SPM_FP_Team6_c3_SprintReport_S3.docx</t>
  </si>
  <si>
    <t xml:space="preserve">Sprint 3 report + F4, F5 test cases + release notes</t>
  </si>
  <si>
    <t xml:space="preserve">HK261_SPM_FP_Team6_c5_UAT.docx</t>
  </si>
  <si>
    <t xml:space="preserve">UAT scripts and acceptance record</t>
  </si>
  <si>
    <t xml:space="preserve">HK261_SPM_FP_Team6_c0_Eval_S3.xlsx</t>
  </si>
  <si>
    <t xml:space="preserve">Final</t>
  </si>
  <si>
    <t xml:space="preserve">23:59 Sun 15/11</t>
  </si>
  <si>
    <t xml:space="preserve">HK261_SPM_FP_Team6_c1_ProjectPlan_Final.docx</t>
  </si>
  <si>
    <t xml:space="preserve">PMP updated after lecturer feedback and the CR</t>
  </si>
  <si>
    <t xml:space="preserve">HK261_SPM_FP_Team6_c2_SprintBacklog_Final.xlsx</t>
  </si>
  <si>
    <t xml:space="preserve">Complete workbook incl. EVM sheet</t>
  </si>
  <si>
    <t xml:space="preserve">HK261_SPM_FP_Team6_c6_FinalReport.docx</t>
  </si>
  <si>
    <t xml:space="preserve">Final Report + Lessons Learned + hosted URL + repo/board/video links</t>
  </si>
  <si>
    <t xml:space="preserve">HK261_SPM_FP_Team6_c6_Slides.pptx</t>
  </si>
  <si>
    <t xml:space="preserve">Final presentation slides</t>
  </si>
  <si>
    <t xml:space="preserve">Each member</t>
  </si>
  <si>
    <t xml:space="preserve">Eval360_Team6_&lt;StudentID&gt;.xlsx</t>
  </si>
  <si>
    <t xml:space="preserve">One 360° evaluation file per member</t>
  </si>
  <si>
    <t xml:space="preserve">Final presentation: 07:00 Tuesday 17/11/2026 – 10 min + 5 min Q&amp;A; every member presents [03 §8].</t>
  </si>
  <si>
    <t xml:space="preserve">TIMELINE 23/10 – 17/11/2026</t>
  </si>
  <si>
    <t xml:space="preserve">Bars come from the planned dates in sheet 2. Navy = Sprint/phase · grey = work package · black = milestone · today's column is outlined in red.</t>
  </si>
  <si>
    <t xml:space="preserve">Start</t>
  </si>
  <si>
    <t xml:space="preserve">Finish</t>
  </si>
  <si>
    <t xml:space="preserve">L1</t>
  </si>
  <si>
    <t xml:space="preserve">L2</t>
  </si>
  <si>
    <t xml:space="preserve">MS</t>
  </si>
  <si>
    <t xml:space="preserve">PLANNING POKER LOG – Release 1.0 (lecturer template BM01)</t>
  </si>
  <si>
    <t xml:space="preserve">Fill DURING the session with the real cards. Fibonacci 1, 2, 3, 5, 8, 13 (split items &gt; 13); reveal together; highest and lowest voters explain; max 3 rounds; still different → take the higher value. Evidence photo: pm/backlog/evidence/.</t>
  </si>
  <si>
    <t xml:space="preserve">Session date/time</t>
  </si>
  <si>
    <t xml:space="preserve">Role</t>
  </si>
  <si>
    <t xml:space="preserve">Channel / place</t>
  </si>
  <si>
    <t xml:space="preserve">Developer · Sprint Leader S1, S3</t>
  </si>
  <si>
    <t xml:space="preserve">Facilitator</t>
  </si>
  <si>
    <t xml:space="preserve">Nguyễn Minh Chính (PO reads each story and its AC)</t>
  </si>
  <si>
    <t xml:space="preserve">Product Owner + Developer · Sprint Leader S2</t>
  </si>
  <si>
    <t xml:space="preserve">Round 1 (cards: Đạt, Chính)</t>
  </si>
  <si>
    <t xml:space="preserve">Round 2</t>
  </si>
  <si>
    <t xml:space="preserve">Round 3</t>
  </si>
  <si>
    <t xml:space="preserve">Final SP</t>
  </si>
  <si>
    <t xml:space="preserve">Reasoning that led to agreement / notes</t>
  </si>
  <si>
    <t xml:space="preserve">Questions the team asked the Product Owner (record at least 3) – proposed below; keep only those really asked and write the PO's answer</t>
  </si>
  <si>
    <t xml:space="preserve">Question</t>
  </si>
  <si>
    <t xml:space="preserve">PO answer</t>
  </si>
  <si>
    <t xml:space="preserve">US-02: are password reset and account lockout part of Release 1.0, or only log in / log out?</t>
  </si>
  <si>
    <t xml:space="preserve">US-08: is ISBN required for a book in Release 1.0 (F2 lists title, author, category, price, description, cover, stock)?</t>
  </si>
  <si>
    <t xml:space="preserve">NFR-01: is the &lt; 2 s list load measured on a warm server, or must it also hold after a free-hosting cold start?</t>
  </si>
  <si>
    <t xml:space="preserve">US-03: can an Administrator lock another Administrator, and what does a locked user see when logging in?</t>
  </si>
</sst>
</file>

<file path=xl/styles.xml><?xml version="1.0" encoding="utf-8"?>
<styleSheet xmlns="http://schemas.openxmlformats.org/spreadsheetml/2006/main">
  <numFmts count="6">
    <numFmt numFmtId="164" formatCode="General"/>
    <numFmt numFmtId="165" formatCode="0.0"/>
    <numFmt numFmtId="166" formatCode="0%"/>
    <numFmt numFmtId="167" formatCode="dd/mm"/>
    <numFmt numFmtId="168" formatCode="#,##0"/>
    <numFmt numFmtId="169" formatCode="0.00"/>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2514E"/>
      <name val="Arial"/>
      <family val="0"/>
      <charset val="1"/>
    </font>
    <font>
      <b val="true"/>
      <sz val="10"/>
      <color rgb="FF000000"/>
      <name val="Arial"/>
      <family val="0"/>
      <charset val="1"/>
    </font>
    <font>
      <sz val="10"/>
      <color rgb="FF000000"/>
      <name val="Arial"/>
      <family val="0"/>
      <charset val="1"/>
    </font>
    <font>
      <b val="true"/>
      <sz val="10"/>
      <color rgb="FF1F3864"/>
      <name val="Arial"/>
      <family val="0"/>
      <charset val="1"/>
    </font>
    <font>
      <b val="true"/>
      <sz val="10"/>
      <color rgb="FFFFFFFF"/>
      <name val="Arial"/>
      <family val="0"/>
      <charset val="1"/>
    </font>
    <font>
      <sz val="10"/>
      <color rgb="FF0000FF"/>
      <name val="Arial"/>
      <family val="0"/>
      <charset val="1"/>
    </font>
    <font>
      <b val="true"/>
      <sz val="8"/>
      <color rgb="FFFFFFFF"/>
      <name val="Arial"/>
      <family val="0"/>
      <charset val="1"/>
    </font>
    <font>
      <b val="true"/>
      <sz val="9"/>
      <name val="Arial"/>
      <family val="0"/>
      <charset val="1"/>
    </font>
    <font>
      <sz val="9"/>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9E2F3"/>
        <bgColor rgb="FFD9D9D9"/>
      </patternFill>
    </fill>
    <fill>
      <patternFill patternType="solid">
        <fgColor rgb="FFF2F2F2"/>
        <bgColor rgb="FFFFFFFF"/>
      </patternFill>
    </fill>
    <fill>
      <patternFill patternType="solid">
        <fgColor rgb="FFFFF2CC"/>
        <bgColor rgb="FFF2F2F2"/>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hair">
        <color rgb="FFD9D9D9"/>
      </left>
      <right style="hair">
        <color rgb="FFD9D9D9"/>
      </right>
      <top style="hair">
        <color rgb="FFD9D9D9"/>
      </top>
      <bottom style="hair">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6" fontId="6" fillId="4" borderId="1" xfId="0" applyFont="true" applyBorder="true" applyAlignment="true" applyProtection="false">
      <alignment horizontal="general" vertical="top" textRotation="0" wrapText="true" indent="0" shrinkToFit="false"/>
      <protection locked="true" hidden="false"/>
    </xf>
    <xf numFmtId="167"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general" vertical="top" textRotation="0" wrapText="true" indent="0" shrinkToFit="false"/>
      <protection locked="true" hidden="false"/>
    </xf>
    <xf numFmtId="166" fontId="6" fillId="5" borderId="1" xfId="0" applyFont="true" applyBorder="true" applyAlignment="true" applyProtection="false">
      <alignment horizontal="general" vertical="top" textRotation="0" wrapText="true" indent="0" shrinkToFit="false"/>
      <protection locked="true" hidden="false"/>
    </xf>
    <xf numFmtId="167" fontId="6" fillId="5"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5" fontId="6" fillId="6" borderId="1" xfId="0" applyFont="true" applyBorder="true" applyAlignment="true" applyProtection="false">
      <alignment horizontal="general" vertical="top" textRotation="0" wrapText="true" indent="0" shrinkToFit="false"/>
      <protection locked="true" hidden="false"/>
    </xf>
    <xf numFmtId="167" fontId="6" fillId="6"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8" fontId="7" fillId="3"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7" fontId="11" fillId="2" borderId="1" xfId="0" applyFont="true" applyBorder="true" applyAlignment="true" applyProtection="false">
      <alignment horizontal="center" vertical="bottom" textRotation="9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0B0B0B"/>
        </patternFill>
      </fill>
    </dxf>
    <dxf>
      <fill>
        <patternFill>
          <bgColor rgb="FF1F3864"/>
        </patternFill>
      </fill>
    </dxf>
    <dxf>
      <fill>
        <patternFill>
          <bgColor rgb="FFA6A6A6"/>
        </patternFill>
      </fill>
    </dxf>
    <dxf>
      <border diagonalUp="false" diagonalDown="false">
        <left style="medium">
          <color rgb="FFC00000"/>
        </left>
        <right style="medium">
          <color rgb="FFC00000"/>
        </right>
        <top/>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1F3864"/>
      <rgbColor rgb="FF339966"/>
      <rgbColor rgb="FF0B0B0B"/>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4" min="2" style="0" width="22"/>
    <col collapsed="false" customWidth="true" hidden="false" outlineLevel="0" max="5" min="5" style="0" width="36"/>
    <col collapsed="false" customWidth="true" hidden="false" outlineLevel="0" max="6" min="6" style="0" width="30"/>
    <col collapsed="false" customWidth="true" hidden="false" outlineLevel="0" max="7" min="7" style="0" width="40"/>
    <col collapsed="false" customWidth="true" hidden="false" outlineLevel="0" max="8" min="8" style="0" width="2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true" outlineLevel="0" collapsed="false">
      <c r="A4" s="3" t="s">
        <v>2</v>
      </c>
      <c r="B4" s="4" t="s">
        <v>3</v>
      </c>
      <c r="C4" s="4"/>
      <c r="D4" s="4"/>
      <c r="E4" s="4"/>
      <c r="F4" s="4"/>
      <c r="G4" s="4"/>
      <c r="H4" s="4"/>
    </row>
    <row r="5" customFormat="false" ht="15" hidden="false" customHeight="true" outlineLevel="0" collapsed="false">
      <c r="A5" s="3" t="s">
        <v>4</v>
      </c>
      <c r="B5" s="4" t="s">
        <v>5</v>
      </c>
      <c r="C5" s="4"/>
      <c r="D5" s="4"/>
      <c r="E5" s="4"/>
      <c r="F5" s="4"/>
      <c r="G5" s="4"/>
      <c r="H5" s="4"/>
    </row>
    <row r="6" customFormat="false" ht="15" hidden="false" customHeight="true" outlineLevel="0" collapsed="false">
      <c r="A6" s="3" t="s">
        <v>6</v>
      </c>
      <c r="B6" s="4" t="s">
        <v>7</v>
      </c>
      <c r="C6" s="4"/>
      <c r="D6" s="4"/>
      <c r="E6" s="4"/>
      <c r="F6" s="4"/>
      <c r="G6" s="4"/>
      <c r="H6" s="4"/>
    </row>
    <row r="7" customFormat="false" ht="15" hidden="false" customHeight="true" outlineLevel="0" collapsed="false">
      <c r="A7" s="3" t="s">
        <v>8</v>
      </c>
      <c r="B7" s="4" t="s">
        <v>9</v>
      </c>
      <c r="C7" s="4"/>
      <c r="D7" s="4"/>
      <c r="E7" s="4"/>
      <c r="F7" s="4"/>
      <c r="G7" s="4"/>
      <c r="H7" s="4"/>
    </row>
    <row r="8" customFormat="false" ht="23.85" hidden="false" customHeight="true" outlineLevel="0" collapsed="false">
      <c r="A8" s="3" t="s">
        <v>10</v>
      </c>
      <c r="B8" s="4" t="s">
        <v>11</v>
      </c>
      <c r="C8" s="4"/>
      <c r="D8" s="4"/>
      <c r="E8" s="4"/>
      <c r="F8" s="4"/>
      <c r="G8" s="4"/>
      <c r="H8" s="4"/>
    </row>
    <row r="9" customFormat="false" ht="15" hidden="false" customHeight="true" outlineLevel="0" collapsed="false">
      <c r="A9" s="3" t="s">
        <v>12</v>
      </c>
      <c r="B9" s="4" t="s">
        <v>13</v>
      </c>
      <c r="C9" s="4"/>
      <c r="D9" s="4"/>
      <c r="E9" s="4"/>
      <c r="F9" s="4"/>
      <c r="G9" s="4"/>
      <c r="H9" s="4"/>
    </row>
    <row r="10" customFormat="false" ht="15" hidden="false" customHeight="false" outlineLevel="0" collapsed="false">
      <c r="A10" s="3" t="s">
        <v>14</v>
      </c>
      <c r="B10" s="4" t="str">
        <f aca="false">"Sprints 1–3: "&amp;TEXT(4_ReleasePlan!H18,"0.0")&amp;" h planned (WBS) → BAC = "&amp;TEXT(4_ReleasePlan!B23,"#,##0")&amp;" VND · capacity "&amp;TEXT(4_ReleasePlan!G18,"0")&amp;" h · PSP: "&amp;4_ReleasePlan!B24</f>
        <v>Sprints 1–3: 152.5 h planned (WBS) → BAC = 30,500,000 VND · capacity 168 h · PSP: TBD</v>
      </c>
      <c r="C10" s="4"/>
      <c r="D10" s="4"/>
      <c r="E10" s="4"/>
      <c r="F10" s="4"/>
      <c r="G10" s="4"/>
      <c r="H10" s="4"/>
    </row>
    <row r="12" customFormat="false" ht="15" hidden="false" customHeight="false" outlineLevel="0" collapsed="false">
      <c r="A12" s="5" t="s">
        <v>15</v>
      </c>
    </row>
    <row r="13" customFormat="false" ht="15" hidden="false" customHeight="false" outlineLevel="0" collapsed="false">
      <c r="A13" s="6" t="s">
        <v>16</v>
      </c>
      <c r="B13" s="6" t="s">
        <v>17</v>
      </c>
      <c r="C13" s="6" t="s">
        <v>18</v>
      </c>
      <c r="D13" s="6" t="s">
        <v>19</v>
      </c>
      <c r="E13" s="6" t="s">
        <v>20</v>
      </c>
      <c r="F13" s="6" t="s">
        <v>21</v>
      </c>
      <c r="G13" s="6" t="s">
        <v>22</v>
      </c>
      <c r="H13" s="6" t="s">
        <v>23</v>
      </c>
    </row>
    <row r="14" customFormat="false" ht="57.75" hidden="false" customHeight="true" outlineLevel="0" collapsed="false">
      <c r="A14" s="7" t="s">
        <v>24</v>
      </c>
      <c r="B14" s="7" t="s">
        <v>25</v>
      </c>
      <c r="C14" s="7" t="s">
        <v>26</v>
      </c>
      <c r="D14" s="7" t="s">
        <v>27</v>
      </c>
      <c r="E14" s="7" t="s">
        <v>28</v>
      </c>
      <c r="F14" s="7" t="s">
        <v>29</v>
      </c>
      <c r="G14" s="7" t="s">
        <v>30</v>
      </c>
      <c r="H14" s="7" t="s">
        <v>31</v>
      </c>
    </row>
    <row r="15" customFormat="false" ht="57.75" hidden="false" customHeight="true" outlineLevel="0" collapsed="false">
      <c r="A15" s="7" t="s">
        <v>32</v>
      </c>
      <c r="B15" s="7" t="s">
        <v>33</v>
      </c>
      <c r="C15" s="7" t="s">
        <v>27</v>
      </c>
      <c r="D15" s="7" t="s">
        <v>27</v>
      </c>
      <c r="E15" s="7" t="s">
        <v>34</v>
      </c>
      <c r="F15" s="7" t="s">
        <v>35</v>
      </c>
      <c r="G15" s="7" t="s">
        <v>36</v>
      </c>
      <c r="H15" s="7" t="s">
        <v>37</v>
      </c>
    </row>
    <row r="16" customFormat="false" ht="57.75" hidden="false" customHeight="true" outlineLevel="0" collapsed="false">
      <c r="A16" s="7" t="s">
        <v>38</v>
      </c>
      <c r="B16" s="7" t="s">
        <v>39</v>
      </c>
      <c r="C16" s="7" t="s">
        <v>26</v>
      </c>
      <c r="D16" s="7" t="s">
        <v>27</v>
      </c>
      <c r="E16" s="7" t="s">
        <v>40</v>
      </c>
      <c r="F16" s="7" t="s">
        <v>41</v>
      </c>
      <c r="G16" s="7" t="s">
        <v>42</v>
      </c>
      <c r="H16" s="7" t="s">
        <v>43</v>
      </c>
    </row>
    <row r="17" customFormat="false" ht="57.75" hidden="false" customHeight="true" outlineLevel="0" collapsed="false">
      <c r="A17" s="7" t="s">
        <v>44</v>
      </c>
      <c r="B17" s="7" t="s">
        <v>45</v>
      </c>
      <c r="C17" s="7" t="s">
        <v>46</v>
      </c>
      <c r="D17" s="7" t="s">
        <v>27</v>
      </c>
      <c r="E17" s="7" t="s">
        <v>47</v>
      </c>
      <c r="F17" s="7" t="s">
        <v>48</v>
      </c>
      <c r="G17" s="7" t="s">
        <v>49</v>
      </c>
      <c r="H17" s="7" t="s">
        <v>50</v>
      </c>
    </row>
    <row r="19" customFormat="false" ht="15" hidden="false" customHeight="false" outlineLevel="0" collapsed="false">
      <c r="A19" s="5" t="s">
        <v>51</v>
      </c>
    </row>
    <row r="20" customFormat="false" ht="15" hidden="false" customHeight="false" outlineLevel="0" collapsed="false">
      <c r="A20" s="6" t="s">
        <v>52</v>
      </c>
      <c r="B20" s="6" t="s">
        <v>24</v>
      </c>
      <c r="C20" s="6" t="s">
        <v>32</v>
      </c>
      <c r="D20" s="6" t="s">
        <v>38</v>
      </c>
      <c r="E20" s="6" t="s">
        <v>53</v>
      </c>
      <c r="F20" s="6" t="s">
        <v>54</v>
      </c>
      <c r="G20" s="6" t="s">
        <v>55</v>
      </c>
    </row>
    <row r="21" customFormat="false" ht="57.75" hidden="false" customHeight="true" outlineLevel="0" collapsed="false">
      <c r="A21" s="7" t="s">
        <v>56</v>
      </c>
      <c r="B21" s="7" t="s">
        <v>26</v>
      </c>
      <c r="C21" s="7" t="s">
        <v>57</v>
      </c>
      <c r="D21" s="7" t="s">
        <v>26</v>
      </c>
      <c r="E21" s="7" t="s">
        <v>58</v>
      </c>
      <c r="F21" s="7" t="s">
        <v>59</v>
      </c>
      <c r="G21" s="7" t="s">
        <v>60</v>
      </c>
    </row>
    <row r="22" customFormat="false" ht="57.75" hidden="false" customHeight="true" outlineLevel="0" collapsed="false">
      <c r="A22" s="7" t="s">
        <v>61</v>
      </c>
      <c r="B22" s="7" t="s">
        <v>27</v>
      </c>
      <c r="C22" s="7" t="s">
        <v>62</v>
      </c>
      <c r="D22" s="7" t="s">
        <v>27</v>
      </c>
      <c r="E22" s="7" t="s">
        <v>63</v>
      </c>
      <c r="F22" s="7" t="s">
        <v>64</v>
      </c>
      <c r="G22" s="7" t="s">
        <v>65</v>
      </c>
    </row>
    <row r="23" customFormat="false" ht="15" hidden="false" customHeight="false" outlineLevel="0" collapsed="false">
      <c r="A23" s="2" t="s">
        <v>66</v>
      </c>
    </row>
    <row r="25" customFormat="false" ht="15" hidden="false" customHeight="false" outlineLevel="0" collapsed="false">
      <c r="A25" s="5" t="s">
        <v>67</v>
      </c>
    </row>
    <row r="26" customFormat="false" ht="15" hidden="false" customHeight="true" outlineLevel="0" collapsed="false">
      <c r="A26" s="6" t="s">
        <v>68</v>
      </c>
      <c r="B26" s="6" t="s">
        <v>69</v>
      </c>
      <c r="C26" s="6" t="s">
        <v>70</v>
      </c>
      <c r="D26" s="6"/>
      <c r="E26" s="6" t="s">
        <v>71</v>
      </c>
      <c r="F26" s="6"/>
      <c r="G26" s="6" t="s">
        <v>72</v>
      </c>
      <c r="H26" s="6" t="s">
        <v>73</v>
      </c>
    </row>
    <row r="27" customFormat="false" ht="69.75" hidden="false" customHeight="true" outlineLevel="0" collapsed="false">
      <c r="A27" s="7" t="n">
        <v>1</v>
      </c>
      <c r="B27" s="3" t="s">
        <v>74</v>
      </c>
      <c r="C27" s="4" t="s">
        <v>75</v>
      </c>
      <c r="D27" s="4"/>
      <c r="E27" s="4" t="s">
        <v>76</v>
      </c>
      <c r="F27" s="4"/>
      <c r="G27" s="8" t="s">
        <v>77</v>
      </c>
      <c r="H27" s="8"/>
    </row>
    <row r="28" customFormat="false" ht="69.75" hidden="false" customHeight="true" outlineLevel="0" collapsed="false">
      <c r="A28" s="7" t="n">
        <v>2</v>
      </c>
      <c r="B28" s="3" t="s">
        <v>78</v>
      </c>
      <c r="C28" s="4" t="s">
        <v>79</v>
      </c>
      <c r="D28" s="4"/>
      <c r="E28" s="4" t="s">
        <v>80</v>
      </c>
      <c r="F28" s="4"/>
      <c r="G28" s="8" t="s">
        <v>77</v>
      </c>
      <c r="H28" s="8"/>
    </row>
    <row r="29" customFormat="false" ht="69.75" hidden="false" customHeight="true" outlineLevel="0" collapsed="false">
      <c r="A29" s="7" t="n">
        <v>3</v>
      </c>
      <c r="B29" s="3" t="s">
        <v>81</v>
      </c>
      <c r="C29" s="4" t="s">
        <v>82</v>
      </c>
      <c r="D29" s="4"/>
      <c r="E29" s="4" t="s">
        <v>83</v>
      </c>
      <c r="F29" s="4"/>
      <c r="G29" s="8" t="s">
        <v>77</v>
      </c>
      <c r="H29" s="8"/>
    </row>
    <row r="30" customFormat="false" ht="69.75" hidden="false" customHeight="true" outlineLevel="0" collapsed="false">
      <c r="A30" s="7" t="n">
        <v>4</v>
      </c>
      <c r="B30" s="3" t="s">
        <v>84</v>
      </c>
      <c r="C30" s="4" t="str">
        <f aca="false">"Capacity "&amp;4_ReleasePlan!B6&amp;" h/person/Sprint (PO assumption, Đạt to confirm). Effort from the WBS: "&amp;TEXT(4_ReleasePlan!H18,"0.0")&amp;" h → BAC = "&amp;TEXT(4_ReleasePlan!B23,"#,##0")&amp;" VND. Sprint 1 is over capacity by "&amp;TEXT(4_ReleasePlan!H15-4_ReleasePlan!G15,"0.0")&amp;" h."</f>
        <v>Capacity 28 h/person/Sprint (PO assumption, Đạt to confirm). Effort from the WBS: 152.5 h → BAC = 30,500,000 VND. Sprint 1 is over capacity by 5.5 h.</v>
      </c>
      <c r="D30" s="4"/>
      <c r="E30" s="4" t="s">
        <v>85</v>
      </c>
      <c r="F30" s="4"/>
      <c r="G30" s="8" t="s">
        <v>77</v>
      </c>
      <c r="H30" s="8"/>
    </row>
    <row r="31" customFormat="false" ht="69.75" hidden="false" customHeight="true" outlineLevel="0" collapsed="false">
      <c r="A31" s="7" t="n">
        <v>5</v>
      </c>
      <c r="B31" s="3" t="s">
        <v>86</v>
      </c>
      <c r="C31" s="4" t="s">
        <v>87</v>
      </c>
      <c r="D31" s="4"/>
      <c r="E31" s="4" t="s">
        <v>88</v>
      </c>
      <c r="F31" s="4"/>
      <c r="G31" s="8" t="s">
        <v>77</v>
      </c>
      <c r="H31" s="8"/>
    </row>
    <row r="32" customFormat="false" ht="69.75" hidden="false" customHeight="true" outlineLevel="0" collapsed="false">
      <c r="A32" s="7" t="n">
        <v>6</v>
      </c>
      <c r="B32" s="3" t="s">
        <v>89</v>
      </c>
      <c r="C32" s="4" t="s">
        <v>90</v>
      </c>
      <c r="D32" s="4"/>
      <c r="E32" s="4" t="s">
        <v>91</v>
      </c>
      <c r="F32" s="4"/>
      <c r="G32" s="8" t="s">
        <v>77</v>
      </c>
      <c r="H32" s="8"/>
    </row>
    <row r="33" customFormat="false" ht="69.75" hidden="false" customHeight="true" outlineLevel="0" collapsed="false">
      <c r="A33" s="7" t="n">
        <v>7</v>
      </c>
      <c r="B33" s="3" t="s">
        <v>92</v>
      </c>
      <c r="C33" s="4" t="s">
        <v>93</v>
      </c>
      <c r="D33" s="4"/>
      <c r="E33" s="4" t="s">
        <v>94</v>
      </c>
      <c r="F33" s="4"/>
      <c r="G33" s="8" t="s">
        <v>77</v>
      </c>
      <c r="H33" s="8"/>
    </row>
    <row r="34" customFormat="false" ht="69.75" hidden="false" customHeight="true" outlineLevel="0" collapsed="false">
      <c r="A34" s="7" t="n">
        <v>8</v>
      </c>
      <c r="B34" s="3" t="s">
        <v>95</v>
      </c>
      <c r="C34" s="4" t="s">
        <v>96</v>
      </c>
      <c r="D34" s="4"/>
      <c r="E34" s="4" t="s">
        <v>97</v>
      </c>
      <c r="F34" s="4"/>
      <c r="G34" s="8" t="s">
        <v>77</v>
      </c>
      <c r="H34" s="8"/>
    </row>
    <row r="35" customFormat="false" ht="69.75" hidden="false" customHeight="true" outlineLevel="0" collapsed="false">
      <c r="A35" s="7" t="n">
        <v>9</v>
      </c>
      <c r="B35" s="3" t="s">
        <v>98</v>
      </c>
      <c r="C35" s="4" t="s">
        <v>99</v>
      </c>
      <c r="D35" s="4"/>
      <c r="E35" s="4" t="s">
        <v>100</v>
      </c>
      <c r="F35" s="4"/>
      <c r="G35" s="8" t="s">
        <v>77</v>
      </c>
      <c r="H35" s="8"/>
    </row>
    <row r="36" customFormat="false" ht="15" hidden="false" customHeight="false" outlineLevel="0" collapsed="false">
      <c r="F36" s="3" t="s">
        <v>101</v>
      </c>
      <c r="G36" s="3" t="str">
        <f aca="false">COUNTIF(G27:G35,"Approved")&amp;"/"&amp;COUNTA(G27:G35)</f>
        <v>0/9</v>
      </c>
    </row>
    <row r="38" customFormat="false" ht="15" hidden="false" customHeight="false" outlineLevel="0" collapsed="false">
      <c r="A38" s="5" t="s">
        <v>102</v>
      </c>
    </row>
    <row r="39" customFormat="false" ht="15" hidden="false" customHeight="true" outlineLevel="0" collapsed="false">
      <c r="A39" s="6" t="s">
        <v>103</v>
      </c>
      <c r="B39" s="6" t="s">
        <v>104</v>
      </c>
      <c r="C39" s="6" t="s">
        <v>105</v>
      </c>
      <c r="D39" s="6" t="s">
        <v>106</v>
      </c>
      <c r="E39" s="6"/>
      <c r="F39" s="6"/>
      <c r="G39" s="6"/>
      <c r="H39" s="6"/>
    </row>
    <row r="40" customFormat="false" ht="30" hidden="false" customHeight="true" outlineLevel="0" collapsed="false">
      <c r="A40" s="7" t="s">
        <v>107</v>
      </c>
      <c r="B40" s="7" t="s">
        <v>108</v>
      </c>
      <c r="C40" s="7" t="s">
        <v>109</v>
      </c>
      <c r="D40" s="4" t="s">
        <v>110</v>
      </c>
      <c r="E40" s="4"/>
      <c r="F40" s="4"/>
      <c r="G40" s="4"/>
      <c r="H40" s="4"/>
    </row>
    <row r="41" customFormat="false" ht="30" hidden="false" customHeight="true" outlineLevel="0" collapsed="false">
      <c r="A41" s="7" t="s">
        <v>111</v>
      </c>
      <c r="B41" s="7" t="s">
        <v>108</v>
      </c>
      <c r="C41" s="7" t="s">
        <v>109</v>
      </c>
      <c r="D41" s="4" t="s">
        <v>112</v>
      </c>
      <c r="E41" s="4"/>
      <c r="F41" s="4"/>
      <c r="G41" s="4"/>
      <c r="H41" s="4"/>
    </row>
    <row r="42" customFormat="false" ht="30" hidden="false" customHeight="true" outlineLevel="0" collapsed="false">
      <c r="A42" s="7" t="s">
        <v>113</v>
      </c>
      <c r="B42" s="7" t="s">
        <v>108</v>
      </c>
      <c r="C42" s="7" t="s">
        <v>109</v>
      </c>
      <c r="D42" s="4" t="s">
        <v>114</v>
      </c>
      <c r="E42" s="4"/>
      <c r="F42" s="4"/>
      <c r="G42" s="4"/>
      <c r="H42" s="4"/>
    </row>
    <row r="43" customFormat="false" ht="30" hidden="false" customHeight="true" outlineLevel="0" collapsed="false">
      <c r="A43" s="7" t="s">
        <v>115</v>
      </c>
      <c r="B43" s="7" t="s">
        <v>108</v>
      </c>
      <c r="C43" s="7" t="s">
        <v>109</v>
      </c>
      <c r="D43" s="4" t="s">
        <v>116</v>
      </c>
      <c r="E43" s="4"/>
      <c r="F43" s="4"/>
      <c r="G43" s="4"/>
      <c r="H43" s="4"/>
    </row>
    <row r="45" customFormat="false" ht="15" hidden="false" customHeight="false" outlineLevel="0" collapsed="false">
      <c r="A45" s="2" t="s">
        <v>117</v>
      </c>
    </row>
  </sheetData>
  <mergeCells count="32">
    <mergeCell ref="B4:H4"/>
    <mergeCell ref="B5:H5"/>
    <mergeCell ref="B6:H6"/>
    <mergeCell ref="B7:H7"/>
    <mergeCell ref="B8:H8"/>
    <mergeCell ref="B9:H9"/>
    <mergeCell ref="B10:H10"/>
    <mergeCell ref="C26:D26"/>
    <mergeCell ref="E26:F26"/>
    <mergeCell ref="C27:D27"/>
    <mergeCell ref="E27:F27"/>
    <mergeCell ref="C28:D28"/>
    <mergeCell ref="E28:F28"/>
    <mergeCell ref="C29:D29"/>
    <mergeCell ref="E29:F29"/>
    <mergeCell ref="C30:D30"/>
    <mergeCell ref="E30:F30"/>
    <mergeCell ref="C31:D31"/>
    <mergeCell ref="E31:F31"/>
    <mergeCell ref="C32:D32"/>
    <mergeCell ref="E32:F32"/>
    <mergeCell ref="C33:D33"/>
    <mergeCell ref="E33:F33"/>
    <mergeCell ref="C34:D34"/>
    <mergeCell ref="E34:F34"/>
    <mergeCell ref="C35:D35"/>
    <mergeCell ref="E35:F35"/>
    <mergeCell ref="D39:H39"/>
    <mergeCell ref="D40:H40"/>
    <mergeCell ref="D41:H41"/>
    <mergeCell ref="D42:H42"/>
    <mergeCell ref="D43:H43"/>
  </mergeCells>
  <dataValidations count="1">
    <dataValidation allowBlank="false" errorStyle="stop" operator="between" showDropDown="false" showErrorMessage="false" showInputMessage="false" sqref="G27:G35" type="list">
      <formula1>"Pending,Approved,Rejected"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70"/>
    <col collapsed="false" customWidth="true" hidden="false" outlineLevel="0" max="4" min="4" style="0" width="20"/>
    <col collapsed="false" customWidth="true" hidden="false" outlineLevel="0" max="5" min="5" style="0" width="9"/>
    <col collapsed="false" customWidth="true" hidden="false" outlineLevel="0" max="6" min="6" style="0" width="38"/>
    <col collapsed="false" customWidth="true" hidden="false" outlineLevel="0" max="7" min="7" style="0" width="12"/>
    <col collapsed="false" customWidth="true" hidden="false" outlineLevel="0" max="9" min="8" style="0" width="10"/>
  </cols>
  <sheetData>
    <row r="1" customFormat="false" ht="17.35" hidden="false" customHeight="false" outlineLevel="0" collapsed="false">
      <c r="A1" s="1" t="s">
        <v>118</v>
      </c>
    </row>
    <row r="2" customFormat="false" ht="15" hidden="false" customHeight="false" outlineLevel="0" collapsed="false">
      <c r="A2" s="2" t="s">
        <v>119</v>
      </c>
    </row>
    <row r="4" customFormat="false" ht="23.85" hidden="false" customHeight="false" outlineLevel="0" collapsed="false">
      <c r="A4" s="6" t="s">
        <v>120</v>
      </c>
      <c r="B4" s="6" t="s">
        <v>121</v>
      </c>
      <c r="C4" s="6" t="s">
        <v>122</v>
      </c>
      <c r="D4" s="6" t="s">
        <v>123</v>
      </c>
      <c r="E4" s="6" t="s">
        <v>124</v>
      </c>
      <c r="F4" s="6" t="s">
        <v>125</v>
      </c>
      <c r="G4" s="6" t="s">
        <v>72</v>
      </c>
      <c r="H4" s="6" t="s">
        <v>126</v>
      </c>
      <c r="I4" s="6" t="s">
        <v>127</v>
      </c>
    </row>
    <row r="5" customFormat="false" ht="51.75" hidden="false" customHeight="true" outlineLevel="0" collapsed="false">
      <c r="A5" s="9" t="s">
        <v>128</v>
      </c>
      <c r="B5" s="9" t="s">
        <v>24</v>
      </c>
      <c r="C5" s="9" t="s">
        <v>129</v>
      </c>
      <c r="D5" s="9"/>
      <c r="E5" s="10" t="n">
        <f aca="false">SUMIFS(E6:E36,D6:D36,"&lt;&gt;")</f>
        <v>61.5</v>
      </c>
      <c r="F5" s="9" t="s">
        <v>130</v>
      </c>
      <c r="G5" s="11" t="n">
        <f aca="false">IFERROR(SUMIFS(E6:E36,G6:G36,"Done",D6:D36,"&lt;&gt;")/E5,0)</f>
        <v>0</v>
      </c>
      <c r="H5" s="12" t="n">
        <f aca="false">MIN(H6:H36)</f>
        <v>46318</v>
      </c>
      <c r="I5" s="12" t="n">
        <f aca="false">MAX(I6:I36)</f>
        <v>46324</v>
      </c>
    </row>
    <row r="6" customFormat="false" ht="15" hidden="false" customHeight="false" outlineLevel="0" collapsed="false">
      <c r="A6" s="13" t="s">
        <v>131</v>
      </c>
      <c r="B6" s="13" t="s">
        <v>24</v>
      </c>
      <c r="C6" s="13" t="s">
        <v>132</v>
      </c>
      <c r="D6" s="13"/>
      <c r="E6" s="14" t="n">
        <f aca="false">SUMIFS(E7:E9,D7:D9,"&lt;&gt;")</f>
        <v>5.5</v>
      </c>
      <c r="F6" s="13"/>
      <c r="G6" s="15" t="n">
        <f aca="false">IFERROR(SUMIFS(E7:E9,G7:G9,"Done",D7:D9,"&lt;&gt;")/E6,0)</f>
        <v>0</v>
      </c>
      <c r="H6" s="16" t="n">
        <f aca="false">MIN(H7:H9)</f>
        <v>46318</v>
      </c>
      <c r="I6" s="16" t="n">
        <f aca="false">MAX(I7:I9)</f>
        <v>46324</v>
      </c>
    </row>
    <row r="7" customFormat="false" ht="23.85" hidden="false" customHeight="false" outlineLevel="0" collapsed="false">
      <c r="A7" s="7" t="s">
        <v>133</v>
      </c>
      <c r="B7" s="7" t="s">
        <v>24</v>
      </c>
      <c r="C7" s="7" t="s">
        <v>134</v>
      </c>
      <c r="D7" s="7" t="s">
        <v>135</v>
      </c>
      <c r="E7" s="17" t="n">
        <v>2</v>
      </c>
      <c r="F7" s="7" t="s">
        <v>136</v>
      </c>
      <c r="G7" s="8" t="s">
        <v>137</v>
      </c>
      <c r="H7" s="18" t="n">
        <v>46318</v>
      </c>
      <c r="I7" s="18" t="n">
        <v>46319</v>
      </c>
    </row>
    <row r="8" customFormat="false" ht="15" hidden="false" customHeight="false" outlineLevel="0" collapsed="false">
      <c r="A8" s="7" t="s">
        <v>138</v>
      </c>
      <c r="B8" s="7" t="s">
        <v>24</v>
      </c>
      <c r="C8" s="7" t="s">
        <v>139</v>
      </c>
      <c r="D8" s="7" t="s">
        <v>135</v>
      </c>
      <c r="E8" s="17" t="n">
        <v>1.5</v>
      </c>
      <c r="F8" s="7" t="s">
        <v>140</v>
      </c>
      <c r="G8" s="8" t="s">
        <v>137</v>
      </c>
      <c r="H8" s="18" t="n">
        <v>46319</v>
      </c>
      <c r="I8" s="18" t="n">
        <v>46319</v>
      </c>
    </row>
    <row r="9" customFormat="false" ht="15" hidden="false" customHeight="false" outlineLevel="0" collapsed="false">
      <c r="A9" s="7" t="s">
        <v>141</v>
      </c>
      <c r="B9" s="7" t="s">
        <v>24</v>
      </c>
      <c r="C9" s="7" t="s">
        <v>142</v>
      </c>
      <c r="D9" s="7" t="s">
        <v>135</v>
      </c>
      <c r="E9" s="17" t="n">
        <v>2</v>
      </c>
      <c r="F9" s="7" t="s">
        <v>143</v>
      </c>
      <c r="G9" s="8" t="s">
        <v>137</v>
      </c>
      <c r="H9" s="18" t="n">
        <v>46318</v>
      </c>
      <c r="I9" s="18" t="n">
        <v>46324</v>
      </c>
    </row>
    <row r="10" customFormat="false" ht="15" hidden="false" customHeight="false" outlineLevel="0" collapsed="false">
      <c r="A10" s="13" t="s">
        <v>144</v>
      </c>
      <c r="B10" s="13" t="s">
        <v>24</v>
      </c>
      <c r="C10" s="13" t="s">
        <v>145</v>
      </c>
      <c r="D10" s="13"/>
      <c r="E10" s="14" t="n">
        <f aca="false">SUMIFS(E11:E23,D11:D23,"&lt;&gt;")</f>
        <v>29</v>
      </c>
      <c r="F10" s="13"/>
      <c r="G10" s="15" t="n">
        <f aca="false">IFERROR(SUMIFS(E11:E23,G11:G23,"Done",D11:D23,"&lt;&gt;")/E10,0)</f>
        <v>0</v>
      </c>
      <c r="H10" s="16" t="n">
        <f aca="false">MIN(H11:H23)</f>
        <v>46318</v>
      </c>
      <c r="I10" s="16" t="n">
        <f aca="false">MAX(I11:I23)</f>
        <v>46324</v>
      </c>
    </row>
    <row r="11" customFormat="false" ht="23.85" hidden="false" customHeight="false" outlineLevel="0" collapsed="false">
      <c r="A11" s="7" t="s">
        <v>146</v>
      </c>
      <c r="B11" s="7" t="s">
        <v>24</v>
      </c>
      <c r="C11" s="7" t="s">
        <v>147</v>
      </c>
      <c r="D11" s="7" t="s">
        <v>26</v>
      </c>
      <c r="E11" s="17" t="n">
        <v>2</v>
      </c>
      <c r="F11" s="7" t="s">
        <v>148</v>
      </c>
      <c r="G11" s="8" t="s">
        <v>149</v>
      </c>
      <c r="H11" s="18" t="n">
        <v>46318</v>
      </c>
      <c r="I11" s="18" t="n">
        <v>46322</v>
      </c>
    </row>
    <row r="12" customFormat="false" ht="23.85" hidden="false" customHeight="false" outlineLevel="0" collapsed="false">
      <c r="A12" s="7" t="s">
        <v>150</v>
      </c>
      <c r="B12" s="7" t="s">
        <v>24</v>
      </c>
      <c r="C12" s="7" t="s">
        <v>151</v>
      </c>
      <c r="D12" s="7" t="s">
        <v>27</v>
      </c>
      <c r="E12" s="17" t="n">
        <v>4</v>
      </c>
      <c r="F12" s="7" t="s">
        <v>152</v>
      </c>
      <c r="G12" s="8" t="s">
        <v>137</v>
      </c>
      <c r="H12" s="18" t="n">
        <v>46319</v>
      </c>
      <c r="I12" s="18" t="n">
        <v>46321</v>
      </c>
    </row>
    <row r="13" customFormat="false" ht="15" hidden="false" customHeight="false" outlineLevel="0" collapsed="false">
      <c r="A13" s="7" t="s">
        <v>153</v>
      </c>
      <c r="B13" s="7" t="s">
        <v>24</v>
      </c>
      <c r="C13" s="7" t="s">
        <v>154</v>
      </c>
      <c r="D13" s="7" t="s">
        <v>135</v>
      </c>
      <c r="E13" s="17" t="n">
        <v>2</v>
      </c>
      <c r="F13" s="7" t="s">
        <v>155</v>
      </c>
      <c r="G13" s="8" t="s">
        <v>137</v>
      </c>
      <c r="H13" s="18" t="n">
        <v>46321</v>
      </c>
      <c r="I13" s="18" t="n">
        <v>46321</v>
      </c>
    </row>
    <row r="14" customFormat="false" ht="23.85" hidden="false" customHeight="false" outlineLevel="0" collapsed="false">
      <c r="A14" s="7" t="s">
        <v>156</v>
      </c>
      <c r="B14" s="7" t="s">
        <v>24</v>
      </c>
      <c r="C14" s="7" t="s">
        <v>157</v>
      </c>
      <c r="D14" s="7" t="s">
        <v>27</v>
      </c>
      <c r="E14" s="17" t="n">
        <v>3</v>
      </c>
      <c r="F14" s="7" t="s">
        <v>158</v>
      </c>
      <c r="G14" s="8" t="s">
        <v>149</v>
      </c>
      <c r="H14" s="18" t="n">
        <v>46319</v>
      </c>
      <c r="I14" s="18" t="n">
        <v>46321</v>
      </c>
    </row>
    <row r="15" customFormat="false" ht="15" hidden="false" customHeight="false" outlineLevel="0" collapsed="false">
      <c r="A15" s="7" t="s">
        <v>159</v>
      </c>
      <c r="B15" s="7" t="s">
        <v>24</v>
      </c>
      <c r="C15" s="7" t="s">
        <v>160</v>
      </c>
      <c r="D15" s="7" t="s">
        <v>27</v>
      </c>
      <c r="E15" s="17" t="n">
        <v>2</v>
      </c>
      <c r="F15" s="7" t="s">
        <v>161</v>
      </c>
      <c r="G15" s="8" t="s">
        <v>137</v>
      </c>
      <c r="H15" s="18" t="n">
        <v>46320</v>
      </c>
      <c r="I15" s="18" t="n">
        <v>46322</v>
      </c>
    </row>
    <row r="16" customFormat="false" ht="15" hidden="false" customHeight="false" outlineLevel="0" collapsed="false">
      <c r="A16" s="7" t="s">
        <v>162</v>
      </c>
      <c r="B16" s="7" t="s">
        <v>24</v>
      </c>
      <c r="C16" s="7" t="s">
        <v>163</v>
      </c>
      <c r="D16" s="7" t="s">
        <v>26</v>
      </c>
      <c r="E16" s="17" t="n">
        <v>2</v>
      </c>
      <c r="F16" s="7" t="s">
        <v>164</v>
      </c>
      <c r="G16" s="8" t="s">
        <v>137</v>
      </c>
      <c r="H16" s="18" t="n">
        <v>46320</v>
      </c>
      <c r="I16" s="18" t="n">
        <v>46322</v>
      </c>
    </row>
    <row r="17" customFormat="false" ht="15" hidden="false" customHeight="false" outlineLevel="0" collapsed="false">
      <c r="A17" s="7" t="s">
        <v>165</v>
      </c>
      <c r="B17" s="7" t="s">
        <v>24</v>
      </c>
      <c r="C17" s="7" t="s">
        <v>166</v>
      </c>
      <c r="D17" s="7" t="s">
        <v>27</v>
      </c>
      <c r="E17" s="17" t="n">
        <v>2</v>
      </c>
      <c r="F17" s="7" t="s">
        <v>167</v>
      </c>
      <c r="G17" s="8" t="s">
        <v>137</v>
      </c>
      <c r="H17" s="18" t="n">
        <v>46321</v>
      </c>
      <c r="I17" s="18" t="n">
        <v>46323</v>
      </c>
    </row>
    <row r="18" customFormat="false" ht="15" hidden="false" customHeight="false" outlineLevel="0" collapsed="false">
      <c r="A18" s="7" t="s">
        <v>168</v>
      </c>
      <c r="B18" s="7" t="s">
        <v>24</v>
      </c>
      <c r="C18" s="7" t="s">
        <v>169</v>
      </c>
      <c r="D18" s="7" t="s">
        <v>26</v>
      </c>
      <c r="E18" s="17" t="n">
        <v>2</v>
      </c>
      <c r="F18" s="7" t="s">
        <v>170</v>
      </c>
      <c r="G18" s="8" t="s">
        <v>137</v>
      </c>
      <c r="H18" s="18" t="n">
        <v>46321</v>
      </c>
      <c r="I18" s="18" t="n">
        <v>46323</v>
      </c>
    </row>
    <row r="19" customFormat="false" ht="15" hidden="false" customHeight="false" outlineLevel="0" collapsed="false">
      <c r="A19" s="7" t="s">
        <v>171</v>
      </c>
      <c r="B19" s="7" t="s">
        <v>24</v>
      </c>
      <c r="C19" s="7" t="s">
        <v>172</v>
      </c>
      <c r="D19" s="7" t="s">
        <v>26</v>
      </c>
      <c r="E19" s="17" t="n">
        <v>2</v>
      </c>
      <c r="F19" s="7" t="s">
        <v>173</v>
      </c>
      <c r="G19" s="8" t="s">
        <v>137</v>
      </c>
      <c r="H19" s="18" t="n">
        <v>46321</v>
      </c>
      <c r="I19" s="18" t="n">
        <v>46323</v>
      </c>
    </row>
    <row r="20" customFormat="false" ht="15" hidden="false" customHeight="false" outlineLevel="0" collapsed="false">
      <c r="A20" s="7" t="s">
        <v>174</v>
      </c>
      <c r="B20" s="7" t="s">
        <v>24</v>
      </c>
      <c r="C20" s="7" t="s">
        <v>175</v>
      </c>
      <c r="D20" s="7" t="s">
        <v>27</v>
      </c>
      <c r="E20" s="17" t="n">
        <v>0</v>
      </c>
      <c r="F20" s="7" t="s">
        <v>176</v>
      </c>
      <c r="G20" s="8" t="s">
        <v>177</v>
      </c>
      <c r="H20" s="18" t="n">
        <v>46322</v>
      </c>
      <c r="I20" s="18" t="n">
        <v>46322</v>
      </c>
    </row>
    <row r="21" customFormat="false" ht="23.85" hidden="false" customHeight="false" outlineLevel="0" collapsed="false">
      <c r="A21" s="7" t="s">
        <v>178</v>
      </c>
      <c r="B21" s="7" t="s">
        <v>24</v>
      </c>
      <c r="C21" s="7" t="s">
        <v>179</v>
      </c>
      <c r="D21" s="7" t="s">
        <v>27</v>
      </c>
      <c r="E21" s="17" t="n">
        <v>3</v>
      </c>
      <c r="F21" s="7" t="s">
        <v>180</v>
      </c>
      <c r="G21" s="8" t="s">
        <v>149</v>
      </c>
      <c r="H21" s="18" t="n">
        <v>46322</v>
      </c>
      <c r="I21" s="18" t="n">
        <v>46324</v>
      </c>
    </row>
    <row r="22" customFormat="false" ht="15" hidden="false" customHeight="false" outlineLevel="0" collapsed="false">
      <c r="A22" s="7" t="s">
        <v>181</v>
      </c>
      <c r="B22" s="7" t="s">
        <v>24</v>
      </c>
      <c r="C22" s="7" t="s">
        <v>182</v>
      </c>
      <c r="D22" s="7" t="s">
        <v>26</v>
      </c>
      <c r="E22" s="17" t="n">
        <v>3</v>
      </c>
      <c r="F22" s="7" t="s">
        <v>183</v>
      </c>
      <c r="G22" s="8" t="s">
        <v>137</v>
      </c>
      <c r="H22" s="18" t="n">
        <v>46323</v>
      </c>
      <c r="I22" s="18" t="n">
        <v>46324</v>
      </c>
    </row>
    <row r="23" customFormat="false" ht="15" hidden="false" customHeight="false" outlineLevel="0" collapsed="false">
      <c r="A23" s="7" t="s">
        <v>184</v>
      </c>
      <c r="B23" s="7" t="s">
        <v>24</v>
      </c>
      <c r="C23" s="7" t="s">
        <v>185</v>
      </c>
      <c r="D23" s="7" t="s">
        <v>26</v>
      </c>
      <c r="E23" s="17" t="n">
        <v>2</v>
      </c>
      <c r="F23" s="7" t="s">
        <v>186</v>
      </c>
      <c r="G23" s="8" t="s">
        <v>137</v>
      </c>
      <c r="H23" s="18" t="n">
        <v>46324</v>
      </c>
      <c r="I23" s="18" t="n">
        <v>46324</v>
      </c>
    </row>
    <row r="24" customFormat="false" ht="15" hidden="false" customHeight="false" outlineLevel="0" collapsed="false">
      <c r="A24" s="13" t="s">
        <v>187</v>
      </c>
      <c r="B24" s="13" t="s">
        <v>24</v>
      </c>
      <c r="C24" s="13" t="s">
        <v>188</v>
      </c>
      <c r="D24" s="13"/>
      <c r="E24" s="14" t="n">
        <f aca="false">SUMIFS(E25:E31,D25:D31,"&lt;&gt;")</f>
        <v>21</v>
      </c>
      <c r="F24" s="13"/>
      <c r="G24" s="15" t="n">
        <f aca="false">IFERROR(SUMIFS(E25:E31,G25:G31,"Done",D25:D31,"&lt;&gt;")/E24,0)</f>
        <v>0</v>
      </c>
      <c r="H24" s="16" t="n">
        <f aca="false">MIN(H25:H31)</f>
        <v>46319</v>
      </c>
      <c r="I24" s="16" t="n">
        <f aca="false">MAX(I25:I31)</f>
        <v>46323</v>
      </c>
    </row>
    <row r="25" customFormat="false" ht="15" hidden="false" customHeight="false" outlineLevel="0" collapsed="false">
      <c r="A25" s="7" t="s">
        <v>189</v>
      </c>
      <c r="B25" s="7" t="s">
        <v>24</v>
      </c>
      <c r="C25" s="7" t="s">
        <v>190</v>
      </c>
      <c r="D25" s="7" t="s">
        <v>26</v>
      </c>
      <c r="E25" s="17" t="n">
        <v>4</v>
      </c>
      <c r="F25" s="7" t="s">
        <v>191</v>
      </c>
      <c r="G25" s="8" t="s">
        <v>137</v>
      </c>
      <c r="H25" s="18" t="n">
        <v>46319</v>
      </c>
      <c r="I25" s="18" t="n">
        <v>46320</v>
      </c>
    </row>
    <row r="26" customFormat="false" ht="15" hidden="false" customHeight="false" outlineLevel="0" collapsed="false">
      <c r="A26" s="7" t="s">
        <v>192</v>
      </c>
      <c r="B26" s="7" t="s">
        <v>24</v>
      </c>
      <c r="C26" s="7" t="s">
        <v>193</v>
      </c>
      <c r="D26" s="7" t="s">
        <v>26</v>
      </c>
      <c r="E26" s="17" t="n">
        <v>3</v>
      </c>
      <c r="F26" s="7" t="s">
        <v>194</v>
      </c>
      <c r="G26" s="8" t="s">
        <v>137</v>
      </c>
      <c r="H26" s="18" t="n">
        <v>46320</v>
      </c>
      <c r="I26" s="18" t="n">
        <v>46321</v>
      </c>
    </row>
    <row r="27" customFormat="false" ht="15" hidden="false" customHeight="false" outlineLevel="0" collapsed="false">
      <c r="A27" s="7" t="s">
        <v>195</v>
      </c>
      <c r="B27" s="7" t="s">
        <v>24</v>
      </c>
      <c r="C27" s="7" t="s">
        <v>196</v>
      </c>
      <c r="D27" s="7" t="s">
        <v>27</v>
      </c>
      <c r="E27" s="17" t="n">
        <v>2</v>
      </c>
      <c r="F27" s="7" t="s">
        <v>194</v>
      </c>
      <c r="G27" s="8" t="s">
        <v>137</v>
      </c>
      <c r="H27" s="18" t="n">
        <v>46320</v>
      </c>
      <c r="I27" s="18" t="n">
        <v>46321</v>
      </c>
    </row>
    <row r="28" customFormat="false" ht="15" hidden="false" customHeight="false" outlineLevel="0" collapsed="false">
      <c r="A28" s="7" t="s">
        <v>197</v>
      </c>
      <c r="B28" s="7" t="s">
        <v>24</v>
      </c>
      <c r="C28" s="7" t="s">
        <v>198</v>
      </c>
      <c r="D28" s="7" t="s">
        <v>26</v>
      </c>
      <c r="E28" s="17" t="n">
        <v>3</v>
      </c>
      <c r="F28" s="7" t="s">
        <v>194</v>
      </c>
      <c r="G28" s="8" t="s">
        <v>137</v>
      </c>
      <c r="H28" s="18" t="n">
        <v>46321</v>
      </c>
      <c r="I28" s="18" t="n">
        <v>46322</v>
      </c>
    </row>
    <row r="29" customFormat="false" ht="15" hidden="false" customHeight="false" outlineLevel="0" collapsed="false">
      <c r="A29" s="7" t="s">
        <v>199</v>
      </c>
      <c r="B29" s="7" t="s">
        <v>24</v>
      </c>
      <c r="C29" s="7" t="s">
        <v>200</v>
      </c>
      <c r="D29" s="7" t="s">
        <v>27</v>
      </c>
      <c r="E29" s="17" t="n">
        <v>2</v>
      </c>
      <c r="F29" s="7" t="s">
        <v>194</v>
      </c>
      <c r="G29" s="8" t="s">
        <v>137</v>
      </c>
      <c r="H29" s="18" t="n">
        <v>46321</v>
      </c>
      <c r="I29" s="18" t="n">
        <v>46322</v>
      </c>
    </row>
    <row r="30" customFormat="false" ht="15" hidden="false" customHeight="false" outlineLevel="0" collapsed="false">
      <c r="A30" s="7" t="s">
        <v>201</v>
      </c>
      <c r="B30" s="7" t="s">
        <v>24</v>
      </c>
      <c r="C30" s="7" t="s">
        <v>202</v>
      </c>
      <c r="D30" s="7" t="s">
        <v>26</v>
      </c>
      <c r="E30" s="17" t="n">
        <v>3</v>
      </c>
      <c r="F30" s="7" t="s">
        <v>194</v>
      </c>
      <c r="G30" s="8" t="s">
        <v>137</v>
      </c>
      <c r="H30" s="18" t="n">
        <v>46322</v>
      </c>
      <c r="I30" s="18" t="n">
        <v>46323</v>
      </c>
    </row>
    <row r="31" customFormat="false" ht="15" hidden="false" customHeight="false" outlineLevel="0" collapsed="false">
      <c r="A31" s="7" t="s">
        <v>203</v>
      </c>
      <c r="B31" s="7" t="s">
        <v>24</v>
      </c>
      <c r="C31" s="7" t="s">
        <v>204</v>
      </c>
      <c r="D31" s="7" t="s">
        <v>27</v>
      </c>
      <c r="E31" s="17" t="n">
        <v>4</v>
      </c>
      <c r="F31" s="7" t="s">
        <v>194</v>
      </c>
      <c r="G31" s="8" t="s">
        <v>137</v>
      </c>
      <c r="H31" s="18" t="n">
        <v>46322</v>
      </c>
      <c r="I31" s="18" t="n">
        <v>46323</v>
      </c>
    </row>
    <row r="32" customFormat="false" ht="15" hidden="false" customHeight="false" outlineLevel="0" collapsed="false">
      <c r="A32" s="13" t="s">
        <v>205</v>
      </c>
      <c r="B32" s="13" t="s">
        <v>24</v>
      </c>
      <c r="C32" s="13" t="s">
        <v>206</v>
      </c>
      <c r="D32" s="13"/>
      <c r="E32" s="14" t="n">
        <f aca="false">SUMIFS(E33:E35,D33:D35,"&lt;&gt;")</f>
        <v>6</v>
      </c>
      <c r="F32" s="13"/>
      <c r="G32" s="15" t="n">
        <f aca="false">IFERROR(SUMIFS(E33:E35,G33:G35,"Done",D33:D35,"&lt;&gt;")/E32,0)</f>
        <v>0</v>
      </c>
      <c r="H32" s="16" t="n">
        <f aca="false">MIN(H33:H35)</f>
        <v>46320</v>
      </c>
      <c r="I32" s="16" t="n">
        <f aca="false">MAX(I33:I35)</f>
        <v>46324</v>
      </c>
    </row>
    <row r="33" customFormat="false" ht="15" hidden="false" customHeight="false" outlineLevel="0" collapsed="false">
      <c r="A33" s="7" t="s">
        <v>207</v>
      </c>
      <c r="B33" s="7" t="s">
        <v>24</v>
      </c>
      <c r="C33" s="7" t="s">
        <v>208</v>
      </c>
      <c r="D33" s="7" t="s">
        <v>27</v>
      </c>
      <c r="E33" s="17" t="n">
        <v>2</v>
      </c>
      <c r="F33" s="7" t="s">
        <v>209</v>
      </c>
      <c r="G33" s="8" t="s">
        <v>137</v>
      </c>
      <c r="H33" s="18" t="n">
        <v>46322</v>
      </c>
      <c r="I33" s="18" t="n">
        <v>46323</v>
      </c>
    </row>
    <row r="34" customFormat="false" ht="15" hidden="false" customHeight="false" outlineLevel="0" collapsed="false">
      <c r="A34" s="7" t="s">
        <v>210</v>
      </c>
      <c r="B34" s="7" t="s">
        <v>24</v>
      </c>
      <c r="C34" s="7" t="s">
        <v>211</v>
      </c>
      <c r="D34" s="7" t="s">
        <v>27</v>
      </c>
      <c r="E34" s="17" t="n">
        <v>2</v>
      </c>
      <c r="F34" s="7" t="s">
        <v>212</v>
      </c>
      <c r="G34" s="8" t="s">
        <v>137</v>
      </c>
      <c r="H34" s="18" t="n">
        <v>46323</v>
      </c>
      <c r="I34" s="18" t="n">
        <v>46324</v>
      </c>
    </row>
    <row r="35" customFormat="false" ht="15" hidden="false" customHeight="false" outlineLevel="0" collapsed="false">
      <c r="A35" s="7" t="s">
        <v>213</v>
      </c>
      <c r="B35" s="7" t="s">
        <v>24</v>
      </c>
      <c r="C35" s="7" t="s">
        <v>214</v>
      </c>
      <c r="D35" s="7" t="s">
        <v>135</v>
      </c>
      <c r="E35" s="17" t="n">
        <v>2</v>
      </c>
      <c r="F35" s="7" t="s">
        <v>215</v>
      </c>
      <c r="G35" s="8" t="s">
        <v>137</v>
      </c>
      <c r="H35" s="18" t="n">
        <v>46320</v>
      </c>
      <c r="I35" s="18" t="n">
        <v>46324</v>
      </c>
    </row>
    <row r="36" customFormat="false" ht="23.85" hidden="false" customHeight="false" outlineLevel="0" collapsed="false">
      <c r="A36" s="19" t="s">
        <v>216</v>
      </c>
      <c r="B36" s="19" t="s">
        <v>24</v>
      </c>
      <c r="C36" s="19" t="s">
        <v>217</v>
      </c>
      <c r="D36" s="19" t="s">
        <v>26</v>
      </c>
      <c r="E36" s="20" t="n">
        <v>0</v>
      </c>
      <c r="F36" s="19" t="s">
        <v>218</v>
      </c>
      <c r="G36" s="19"/>
      <c r="H36" s="21" t="n">
        <v>46324</v>
      </c>
      <c r="I36" s="21" t="n">
        <v>46324</v>
      </c>
    </row>
    <row r="37" customFormat="false" ht="51.75" hidden="false" customHeight="true" outlineLevel="0" collapsed="false">
      <c r="A37" s="9" t="s">
        <v>219</v>
      </c>
      <c r="B37" s="9" t="s">
        <v>32</v>
      </c>
      <c r="C37" s="9" t="s">
        <v>220</v>
      </c>
      <c r="D37" s="9"/>
      <c r="E37" s="10" t="n">
        <f aca="false">SUMIFS(E38:E64,D38:D64,"&lt;&gt;")</f>
        <v>53.5</v>
      </c>
      <c r="F37" s="9" t="s">
        <v>221</v>
      </c>
      <c r="G37" s="11" t="n">
        <f aca="false">IFERROR(SUMIFS(E38:E64,G38:G64,"Done",D38:D64,"&lt;&gt;")/E37,0)</f>
        <v>0</v>
      </c>
      <c r="H37" s="12" t="n">
        <f aca="false">MIN(H38:H64)</f>
        <v>46325</v>
      </c>
      <c r="I37" s="12" t="n">
        <f aca="false">MAX(I38:I64)</f>
        <v>46331</v>
      </c>
    </row>
    <row r="38" customFormat="false" ht="15" hidden="false" customHeight="false" outlineLevel="0" collapsed="false">
      <c r="A38" s="13" t="s">
        <v>222</v>
      </c>
      <c r="B38" s="13" t="s">
        <v>32</v>
      </c>
      <c r="C38" s="13" t="s">
        <v>132</v>
      </c>
      <c r="D38" s="13"/>
      <c r="E38" s="14" t="n">
        <f aca="false">SUMIFS(E39:E41,D39:D41,"&lt;&gt;")</f>
        <v>5.5</v>
      </c>
      <c r="F38" s="13"/>
      <c r="G38" s="15" t="n">
        <f aca="false">IFERROR(SUMIFS(E39:E41,G39:G41,"Done",D39:D41,"&lt;&gt;")/E38,0)</f>
        <v>0</v>
      </c>
      <c r="H38" s="16" t="n">
        <f aca="false">MIN(H39:H41)</f>
        <v>46325</v>
      </c>
      <c r="I38" s="16" t="n">
        <f aca="false">MAX(I39:I41)</f>
        <v>46331</v>
      </c>
    </row>
    <row r="39" customFormat="false" ht="15" hidden="false" customHeight="false" outlineLevel="0" collapsed="false">
      <c r="A39" s="7" t="s">
        <v>223</v>
      </c>
      <c r="B39" s="7" t="s">
        <v>32</v>
      </c>
      <c r="C39" s="7" t="s">
        <v>224</v>
      </c>
      <c r="D39" s="7" t="s">
        <v>135</v>
      </c>
      <c r="E39" s="17" t="n">
        <v>2</v>
      </c>
      <c r="F39" s="7" t="s">
        <v>225</v>
      </c>
      <c r="G39" s="8" t="s">
        <v>137</v>
      </c>
      <c r="H39" s="18" t="n">
        <v>46325</v>
      </c>
      <c r="I39" s="18" t="n">
        <v>46325</v>
      </c>
    </row>
    <row r="40" customFormat="false" ht="15" hidden="false" customHeight="false" outlineLevel="0" collapsed="false">
      <c r="A40" s="7" t="s">
        <v>226</v>
      </c>
      <c r="B40" s="7" t="s">
        <v>32</v>
      </c>
      <c r="C40" s="7" t="s">
        <v>227</v>
      </c>
      <c r="D40" s="7" t="s">
        <v>135</v>
      </c>
      <c r="E40" s="17" t="n">
        <v>1.5</v>
      </c>
      <c r="F40" s="7" t="s">
        <v>228</v>
      </c>
      <c r="G40" s="8" t="s">
        <v>137</v>
      </c>
      <c r="H40" s="18" t="n">
        <v>46325</v>
      </c>
      <c r="I40" s="18" t="n">
        <v>46325</v>
      </c>
    </row>
    <row r="41" customFormat="false" ht="15" hidden="false" customHeight="false" outlineLevel="0" collapsed="false">
      <c r="A41" s="7" t="s">
        <v>229</v>
      </c>
      <c r="B41" s="7" t="s">
        <v>32</v>
      </c>
      <c r="C41" s="7" t="s">
        <v>230</v>
      </c>
      <c r="D41" s="7" t="s">
        <v>135</v>
      </c>
      <c r="E41" s="17" t="n">
        <v>2</v>
      </c>
      <c r="F41" s="7" t="s">
        <v>143</v>
      </c>
      <c r="G41" s="8" t="s">
        <v>137</v>
      </c>
      <c r="H41" s="18" t="n">
        <v>46325</v>
      </c>
      <c r="I41" s="18" t="n">
        <v>46331</v>
      </c>
    </row>
    <row r="42" customFormat="false" ht="15" hidden="false" customHeight="false" outlineLevel="0" collapsed="false">
      <c r="A42" s="13" t="s">
        <v>231</v>
      </c>
      <c r="B42" s="13" t="s">
        <v>32</v>
      </c>
      <c r="C42" s="13" t="s">
        <v>232</v>
      </c>
      <c r="D42" s="13"/>
      <c r="E42" s="14" t="n">
        <f aca="false">SUMIFS(E43:E47,D43:D47,"&lt;&gt;")</f>
        <v>11</v>
      </c>
      <c r="F42" s="13"/>
      <c r="G42" s="15" t="n">
        <f aca="false">IFERROR(SUMIFS(E43:E47,G43:G47,"Done",D43:D47,"&lt;&gt;")/E42,0)</f>
        <v>0</v>
      </c>
      <c r="H42" s="16" t="n">
        <f aca="false">MIN(H43:H47)</f>
        <v>46325</v>
      </c>
      <c r="I42" s="16" t="n">
        <f aca="false">MAX(I43:I47)</f>
        <v>46331</v>
      </c>
    </row>
    <row r="43" customFormat="false" ht="15" hidden="false" customHeight="false" outlineLevel="0" collapsed="false">
      <c r="A43" s="7" t="s">
        <v>233</v>
      </c>
      <c r="B43" s="7" t="s">
        <v>32</v>
      </c>
      <c r="C43" s="7" t="s">
        <v>234</v>
      </c>
      <c r="D43" s="7" t="s">
        <v>27</v>
      </c>
      <c r="E43" s="17" t="n">
        <v>1</v>
      </c>
      <c r="F43" s="7" t="s">
        <v>235</v>
      </c>
      <c r="G43" s="8" t="s">
        <v>137</v>
      </c>
      <c r="H43" s="18" t="n">
        <v>46325</v>
      </c>
      <c r="I43" s="18" t="n">
        <v>46325</v>
      </c>
    </row>
    <row r="44" customFormat="false" ht="23.85" hidden="false" customHeight="false" outlineLevel="0" collapsed="false">
      <c r="A44" s="7" t="s">
        <v>236</v>
      </c>
      <c r="B44" s="7" t="s">
        <v>32</v>
      </c>
      <c r="C44" s="7" t="s">
        <v>237</v>
      </c>
      <c r="D44" s="7" t="s">
        <v>27</v>
      </c>
      <c r="E44" s="17" t="n">
        <v>3</v>
      </c>
      <c r="F44" s="7" t="s">
        <v>238</v>
      </c>
      <c r="G44" s="8" t="s">
        <v>137</v>
      </c>
      <c r="H44" s="18" t="n">
        <v>46325</v>
      </c>
      <c r="I44" s="18" t="n">
        <v>46326</v>
      </c>
    </row>
    <row r="45" customFormat="false" ht="15" hidden="false" customHeight="false" outlineLevel="0" collapsed="false">
      <c r="A45" s="7" t="s">
        <v>239</v>
      </c>
      <c r="B45" s="7" t="s">
        <v>32</v>
      </c>
      <c r="C45" s="7" t="s">
        <v>240</v>
      </c>
      <c r="D45" s="7" t="s">
        <v>27</v>
      </c>
      <c r="E45" s="17" t="n">
        <v>2</v>
      </c>
      <c r="F45" s="7" t="s">
        <v>241</v>
      </c>
      <c r="G45" s="8" t="s">
        <v>137</v>
      </c>
      <c r="H45" s="18" t="n">
        <v>46328</v>
      </c>
      <c r="I45" s="18" t="n">
        <v>46331</v>
      </c>
    </row>
    <row r="46" customFormat="false" ht="15" hidden="false" customHeight="false" outlineLevel="0" collapsed="false">
      <c r="A46" s="7" t="s">
        <v>242</v>
      </c>
      <c r="B46" s="7" t="s">
        <v>32</v>
      </c>
      <c r="C46" s="7" t="s">
        <v>243</v>
      </c>
      <c r="D46" s="7" t="s">
        <v>27</v>
      </c>
      <c r="E46" s="17" t="n">
        <v>2</v>
      </c>
      <c r="F46" s="7" t="s">
        <v>244</v>
      </c>
      <c r="G46" s="8" t="s">
        <v>137</v>
      </c>
      <c r="H46" s="18" t="n">
        <v>46329</v>
      </c>
      <c r="I46" s="18" t="n">
        <v>46331</v>
      </c>
    </row>
    <row r="47" customFormat="false" ht="15" hidden="false" customHeight="false" outlineLevel="0" collapsed="false">
      <c r="A47" s="7" t="s">
        <v>245</v>
      </c>
      <c r="B47" s="7" t="s">
        <v>32</v>
      </c>
      <c r="C47" s="7" t="s">
        <v>246</v>
      </c>
      <c r="D47" s="7" t="s">
        <v>27</v>
      </c>
      <c r="E47" s="17" t="n">
        <v>3</v>
      </c>
      <c r="F47" s="7" t="s">
        <v>247</v>
      </c>
      <c r="G47" s="8" t="s">
        <v>137</v>
      </c>
      <c r="H47" s="18" t="n">
        <v>46330</v>
      </c>
      <c r="I47" s="18" t="n">
        <v>46331</v>
      </c>
    </row>
    <row r="48" customFormat="false" ht="15" hidden="false" customHeight="false" outlineLevel="0" collapsed="false">
      <c r="A48" s="13" t="s">
        <v>248</v>
      </c>
      <c r="B48" s="13" t="s">
        <v>32</v>
      </c>
      <c r="C48" s="13" t="s">
        <v>249</v>
      </c>
      <c r="D48" s="13"/>
      <c r="E48" s="14" t="n">
        <f aca="false">SUMIFS(E49:E59,D49:D59,"&lt;&gt;")</f>
        <v>29</v>
      </c>
      <c r="F48" s="13"/>
      <c r="G48" s="15" t="n">
        <f aca="false">IFERROR(SUMIFS(E49:E59,G49:G59,"Done",D49:D59,"&lt;&gt;")/E48,0)</f>
        <v>0</v>
      </c>
      <c r="H48" s="16" t="n">
        <f aca="false">MIN(H49:H59)</f>
        <v>46326</v>
      </c>
      <c r="I48" s="16" t="n">
        <f aca="false">MAX(I49:I59)</f>
        <v>46330</v>
      </c>
    </row>
    <row r="49" customFormat="false" ht="15" hidden="false" customHeight="false" outlineLevel="0" collapsed="false">
      <c r="A49" s="7" t="s">
        <v>250</v>
      </c>
      <c r="B49" s="7" t="s">
        <v>32</v>
      </c>
      <c r="C49" s="7" t="s">
        <v>251</v>
      </c>
      <c r="D49" s="7" t="s">
        <v>26</v>
      </c>
      <c r="E49" s="17" t="n">
        <v>3</v>
      </c>
      <c r="F49" s="7" t="s">
        <v>252</v>
      </c>
      <c r="G49" s="8" t="s">
        <v>137</v>
      </c>
      <c r="H49" s="18" t="n">
        <v>46326</v>
      </c>
      <c r="I49" s="18" t="n">
        <v>46326</v>
      </c>
    </row>
    <row r="50" customFormat="false" ht="15" hidden="false" customHeight="false" outlineLevel="0" collapsed="false">
      <c r="A50" s="7" t="s">
        <v>253</v>
      </c>
      <c r="B50" s="7" t="s">
        <v>32</v>
      </c>
      <c r="C50" s="7" t="s">
        <v>254</v>
      </c>
      <c r="D50" s="7" t="s">
        <v>27</v>
      </c>
      <c r="E50" s="17" t="n">
        <v>3</v>
      </c>
      <c r="F50" s="7" t="s">
        <v>194</v>
      </c>
      <c r="G50" s="8" t="s">
        <v>137</v>
      </c>
      <c r="H50" s="18" t="n">
        <v>46326</v>
      </c>
      <c r="I50" s="18" t="n">
        <v>46327</v>
      </c>
    </row>
    <row r="51" customFormat="false" ht="15" hidden="false" customHeight="false" outlineLevel="0" collapsed="false">
      <c r="A51" s="7" t="s">
        <v>255</v>
      </c>
      <c r="B51" s="7" t="s">
        <v>32</v>
      </c>
      <c r="C51" s="7" t="s">
        <v>256</v>
      </c>
      <c r="D51" s="7" t="s">
        <v>27</v>
      </c>
      <c r="E51" s="17" t="n">
        <v>3</v>
      </c>
      <c r="F51" s="7" t="s">
        <v>194</v>
      </c>
      <c r="G51" s="8" t="s">
        <v>137</v>
      </c>
      <c r="H51" s="18" t="n">
        <v>46327</v>
      </c>
      <c r="I51" s="18" t="n">
        <v>46328</v>
      </c>
    </row>
    <row r="52" customFormat="false" ht="15" hidden="false" customHeight="false" outlineLevel="0" collapsed="false">
      <c r="A52" s="7" t="s">
        <v>257</v>
      </c>
      <c r="B52" s="7" t="s">
        <v>32</v>
      </c>
      <c r="C52" s="7" t="s">
        <v>258</v>
      </c>
      <c r="D52" s="7" t="s">
        <v>26</v>
      </c>
      <c r="E52" s="17" t="n">
        <v>3</v>
      </c>
      <c r="F52" s="7" t="s">
        <v>194</v>
      </c>
      <c r="G52" s="8" t="s">
        <v>137</v>
      </c>
      <c r="H52" s="18" t="n">
        <v>46326</v>
      </c>
      <c r="I52" s="18" t="n">
        <v>46327</v>
      </c>
    </row>
    <row r="53" customFormat="false" ht="15" hidden="false" customHeight="false" outlineLevel="0" collapsed="false">
      <c r="A53" s="7" t="s">
        <v>259</v>
      </c>
      <c r="B53" s="7" t="s">
        <v>32</v>
      </c>
      <c r="C53" s="7" t="s">
        <v>260</v>
      </c>
      <c r="D53" s="7" t="s">
        <v>27</v>
      </c>
      <c r="E53" s="17" t="n">
        <v>3</v>
      </c>
      <c r="F53" s="7" t="s">
        <v>194</v>
      </c>
      <c r="G53" s="8" t="s">
        <v>137</v>
      </c>
      <c r="H53" s="18" t="n">
        <v>46327</v>
      </c>
      <c r="I53" s="18" t="n">
        <v>46328</v>
      </c>
    </row>
    <row r="54" customFormat="false" ht="15" hidden="false" customHeight="false" outlineLevel="0" collapsed="false">
      <c r="A54" s="7" t="s">
        <v>261</v>
      </c>
      <c r="B54" s="7" t="s">
        <v>32</v>
      </c>
      <c r="C54" s="7" t="s">
        <v>262</v>
      </c>
      <c r="D54" s="7" t="s">
        <v>26</v>
      </c>
      <c r="E54" s="17" t="n">
        <v>2</v>
      </c>
      <c r="F54" s="7" t="s">
        <v>194</v>
      </c>
      <c r="G54" s="8" t="s">
        <v>137</v>
      </c>
      <c r="H54" s="18" t="n">
        <v>46328</v>
      </c>
      <c r="I54" s="18" t="n">
        <v>46328</v>
      </c>
    </row>
    <row r="55" customFormat="false" ht="15" hidden="false" customHeight="false" outlineLevel="0" collapsed="false">
      <c r="A55" s="7" t="s">
        <v>263</v>
      </c>
      <c r="B55" s="7" t="s">
        <v>32</v>
      </c>
      <c r="C55" s="7" t="s">
        <v>264</v>
      </c>
      <c r="D55" s="7" t="s">
        <v>26</v>
      </c>
      <c r="E55" s="17" t="n">
        <v>2</v>
      </c>
      <c r="F55" s="7" t="s">
        <v>194</v>
      </c>
      <c r="G55" s="8" t="s">
        <v>137</v>
      </c>
      <c r="H55" s="18" t="n">
        <v>46328</v>
      </c>
      <c r="I55" s="18" t="n">
        <v>46329</v>
      </c>
    </row>
    <row r="56" customFormat="false" ht="15" hidden="false" customHeight="false" outlineLevel="0" collapsed="false">
      <c r="A56" s="7" t="s">
        <v>265</v>
      </c>
      <c r="B56" s="7" t="s">
        <v>32</v>
      </c>
      <c r="C56" s="7" t="s">
        <v>266</v>
      </c>
      <c r="D56" s="7" t="s">
        <v>26</v>
      </c>
      <c r="E56" s="17" t="n">
        <v>2</v>
      </c>
      <c r="F56" s="7" t="s">
        <v>267</v>
      </c>
      <c r="G56" s="8" t="s">
        <v>137</v>
      </c>
      <c r="H56" s="18" t="n">
        <v>46328</v>
      </c>
      <c r="I56" s="18" t="n">
        <v>46329</v>
      </c>
    </row>
    <row r="57" customFormat="false" ht="15" hidden="false" customHeight="false" outlineLevel="0" collapsed="false">
      <c r="A57" s="7" t="s">
        <v>268</v>
      </c>
      <c r="B57" s="7" t="s">
        <v>32</v>
      </c>
      <c r="C57" s="7" t="s">
        <v>269</v>
      </c>
      <c r="D57" s="7" t="s">
        <v>27</v>
      </c>
      <c r="E57" s="17" t="n">
        <v>3</v>
      </c>
      <c r="F57" s="7" t="s">
        <v>194</v>
      </c>
      <c r="G57" s="8" t="s">
        <v>137</v>
      </c>
      <c r="H57" s="18" t="n">
        <v>46328</v>
      </c>
      <c r="I57" s="18" t="n">
        <v>46329</v>
      </c>
    </row>
    <row r="58" customFormat="false" ht="15" hidden="false" customHeight="false" outlineLevel="0" collapsed="false">
      <c r="A58" s="7" t="s">
        <v>270</v>
      </c>
      <c r="B58" s="7" t="s">
        <v>32</v>
      </c>
      <c r="C58" s="7" t="s">
        <v>271</v>
      </c>
      <c r="D58" s="7" t="s">
        <v>26</v>
      </c>
      <c r="E58" s="17" t="n">
        <v>3</v>
      </c>
      <c r="F58" s="7" t="s">
        <v>272</v>
      </c>
      <c r="G58" s="8" t="s">
        <v>137</v>
      </c>
      <c r="H58" s="18" t="n">
        <v>46329</v>
      </c>
      <c r="I58" s="18" t="n">
        <v>46330</v>
      </c>
    </row>
    <row r="59" customFormat="false" ht="15" hidden="false" customHeight="false" outlineLevel="0" collapsed="false">
      <c r="A59" s="7" t="s">
        <v>273</v>
      </c>
      <c r="B59" s="7" t="s">
        <v>32</v>
      </c>
      <c r="C59" s="7" t="s">
        <v>274</v>
      </c>
      <c r="D59" s="7" t="s">
        <v>26</v>
      </c>
      <c r="E59" s="17" t="n">
        <v>2</v>
      </c>
      <c r="F59" s="7" t="s">
        <v>275</v>
      </c>
      <c r="G59" s="8" t="s">
        <v>137</v>
      </c>
      <c r="H59" s="18" t="n">
        <v>46330</v>
      </c>
      <c r="I59" s="18" t="n">
        <v>46330</v>
      </c>
    </row>
    <row r="60" customFormat="false" ht="15" hidden="false" customHeight="false" outlineLevel="0" collapsed="false">
      <c r="A60" s="13" t="s">
        <v>276</v>
      </c>
      <c r="B60" s="13" t="s">
        <v>32</v>
      </c>
      <c r="C60" s="13" t="s">
        <v>277</v>
      </c>
      <c r="D60" s="13"/>
      <c r="E60" s="14" t="n">
        <f aca="false">SUMIFS(E61:E63,D61:D63,"&lt;&gt;")</f>
        <v>8</v>
      </c>
      <c r="F60" s="13"/>
      <c r="G60" s="15" t="n">
        <f aca="false">IFERROR(SUMIFS(E61:E63,G61:G63,"Done",D61:D63,"&lt;&gt;")/E60,0)</f>
        <v>0</v>
      </c>
      <c r="H60" s="16" t="n">
        <f aca="false">MIN(H61:H63)</f>
        <v>46326</v>
      </c>
      <c r="I60" s="16" t="n">
        <f aca="false">MAX(I61:I63)</f>
        <v>46331</v>
      </c>
    </row>
    <row r="61" customFormat="false" ht="15" hidden="false" customHeight="false" outlineLevel="0" collapsed="false">
      <c r="A61" s="7" t="s">
        <v>278</v>
      </c>
      <c r="B61" s="7" t="s">
        <v>32</v>
      </c>
      <c r="C61" s="7" t="s">
        <v>279</v>
      </c>
      <c r="D61" s="7" t="s">
        <v>26</v>
      </c>
      <c r="E61" s="17" t="n">
        <v>3</v>
      </c>
      <c r="F61" s="7" t="s">
        <v>280</v>
      </c>
      <c r="G61" s="8" t="s">
        <v>137</v>
      </c>
      <c r="H61" s="18" t="n">
        <v>46328</v>
      </c>
      <c r="I61" s="18" t="n">
        <v>46330</v>
      </c>
    </row>
    <row r="62" customFormat="false" ht="15" hidden="false" customHeight="false" outlineLevel="0" collapsed="false">
      <c r="A62" s="7" t="s">
        <v>281</v>
      </c>
      <c r="B62" s="7" t="s">
        <v>32</v>
      </c>
      <c r="C62" s="7" t="s">
        <v>282</v>
      </c>
      <c r="D62" s="7" t="s">
        <v>26</v>
      </c>
      <c r="E62" s="17" t="n">
        <v>3</v>
      </c>
      <c r="F62" s="7" t="s">
        <v>212</v>
      </c>
      <c r="G62" s="8" t="s">
        <v>137</v>
      </c>
      <c r="H62" s="18" t="n">
        <v>46330</v>
      </c>
      <c r="I62" s="18" t="n">
        <v>46331</v>
      </c>
    </row>
    <row r="63" customFormat="false" ht="15" hidden="false" customHeight="false" outlineLevel="0" collapsed="false">
      <c r="A63" s="7" t="s">
        <v>283</v>
      </c>
      <c r="B63" s="7" t="s">
        <v>32</v>
      </c>
      <c r="C63" s="7" t="s">
        <v>284</v>
      </c>
      <c r="D63" s="7" t="s">
        <v>135</v>
      </c>
      <c r="E63" s="17" t="n">
        <v>2</v>
      </c>
      <c r="F63" s="7" t="s">
        <v>215</v>
      </c>
      <c r="G63" s="8" t="s">
        <v>137</v>
      </c>
      <c r="H63" s="18" t="n">
        <v>46326</v>
      </c>
      <c r="I63" s="18" t="n">
        <v>46331</v>
      </c>
    </row>
    <row r="64" customFormat="false" ht="23.85" hidden="false" customHeight="false" outlineLevel="0" collapsed="false">
      <c r="A64" s="19" t="s">
        <v>285</v>
      </c>
      <c r="B64" s="19" t="s">
        <v>32</v>
      </c>
      <c r="C64" s="19" t="s">
        <v>286</v>
      </c>
      <c r="D64" s="19" t="s">
        <v>27</v>
      </c>
      <c r="E64" s="20" t="n">
        <v>0</v>
      </c>
      <c r="F64" s="19" t="s">
        <v>218</v>
      </c>
      <c r="G64" s="19"/>
      <c r="H64" s="21" t="n">
        <v>46331</v>
      </c>
      <c r="I64" s="21" t="n">
        <v>46331</v>
      </c>
    </row>
    <row r="65" customFormat="false" ht="51.75" hidden="false" customHeight="true" outlineLevel="0" collapsed="false">
      <c r="A65" s="9" t="s">
        <v>287</v>
      </c>
      <c r="B65" s="9" t="s">
        <v>38</v>
      </c>
      <c r="C65" s="9" t="s">
        <v>288</v>
      </c>
      <c r="D65" s="9"/>
      <c r="E65" s="10" t="n">
        <f aca="false">SUMIFS(E66:E85,D66:D85,"&lt;&gt;")</f>
        <v>37.5</v>
      </c>
      <c r="F65" s="9" t="s">
        <v>289</v>
      </c>
      <c r="G65" s="11" t="n">
        <f aca="false">IFERROR(SUMIFS(E66:E85,G66:G85,"Done",D66:D85,"&lt;&gt;")/E65,0)</f>
        <v>0</v>
      </c>
      <c r="H65" s="12" t="n">
        <f aca="false">MIN(H66:H85)</f>
        <v>46332</v>
      </c>
      <c r="I65" s="12" t="n">
        <f aca="false">MAX(I66:I85)</f>
        <v>46338</v>
      </c>
    </row>
    <row r="66" customFormat="false" ht="15" hidden="false" customHeight="false" outlineLevel="0" collapsed="false">
      <c r="A66" s="13" t="s">
        <v>290</v>
      </c>
      <c r="B66" s="13" t="s">
        <v>38</v>
      </c>
      <c r="C66" s="13" t="s">
        <v>132</v>
      </c>
      <c r="D66" s="13"/>
      <c r="E66" s="14" t="n">
        <f aca="false">SUMIFS(E67:E69,D67:D69,"&lt;&gt;")</f>
        <v>5.5</v>
      </c>
      <c r="F66" s="13"/>
      <c r="G66" s="15" t="n">
        <f aca="false">IFERROR(SUMIFS(E67:E69,G67:G69,"Done",D67:D69,"&lt;&gt;")/E66,0)</f>
        <v>0</v>
      </c>
      <c r="H66" s="16" t="n">
        <f aca="false">MIN(H67:H69)</f>
        <v>46332</v>
      </c>
      <c r="I66" s="16" t="n">
        <f aca="false">MAX(I67:I69)</f>
        <v>46338</v>
      </c>
    </row>
    <row r="67" customFormat="false" ht="15" hidden="false" customHeight="false" outlineLevel="0" collapsed="false">
      <c r="A67" s="7" t="s">
        <v>291</v>
      </c>
      <c r="B67" s="7" t="s">
        <v>38</v>
      </c>
      <c r="C67" s="7" t="s">
        <v>292</v>
      </c>
      <c r="D67" s="7" t="s">
        <v>135</v>
      </c>
      <c r="E67" s="17" t="n">
        <v>2</v>
      </c>
      <c r="F67" s="7" t="s">
        <v>225</v>
      </c>
      <c r="G67" s="8" t="s">
        <v>137</v>
      </c>
      <c r="H67" s="18" t="n">
        <v>46332</v>
      </c>
      <c r="I67" s="18" t="n">
        <v>46332</v>
      </c>
    </row>
    <row r="68" customFormat="false" ht="15" hidden="false" customHeight="false" outlineLevel="0" collapsed="false">
      <c r="A68" s="7" t="s">
        <v>293</v>
      </c>
      <c r="B68" s="7" t="s">
        <v>38</v>
      </c>
      <c r="C68" s="7" t="s">
        <v>294</v>
      </c>
      <c r="D68" s="7" t="s">
        <v>135</v>
      </c>
      <c r="E68" s="17" t="n">
        <v>1.5</v>
      </c>
      <c r="F68" s="7" t="s">
        <v>295</v>
      </c>
      <c r="G68" s="8" t="s">
        <v>137</v>
      </c>
      <c r="H68" s="18" t="n">
        <v>46332</v>
      </c>
      <c r="I68" s="18" t="n">
        <v>46332</v>
      </c>
    </row>
    <row r="69" customFormat="false" ht="15" hidden="false" customHeight="false" outlineLevel="0" collapsed="false">
      <c r="A69" s="7" t="s">
        <v>296</v>
      </c>
      <c r="B69" s="7" t="s">
        <v>38</v>
      </c>
      <c r="C69" s="7" t="s">
        <v>297</v>
      </c>
      <c r="D69" s="7" t="s">
        <v>135</v>
      </c>
      <c r="E69" s="17" t="n">
        <v>2</v>
      </c>
      <c r="F69" s="7" t="s">
        <v>143</v>
      </c>
      <c r="G69" s="8" t="s">
        <v>137</v>
      </c>
      <c r="H69" s="18" t="n">
        <v>46332</v>
      </c>
      <c r="I69" s="18" t="n">
        <v>46338</v>
      </c>
    </row>
    <row r="70" customFormat="false" ht="15" hidden="false" customHeight="false" outlineLevel="0" collapsed="false">
      <c r="A70" s="13" t="s">
        <v>298</v>
      </c>
      <c r="B70" s="13" t="s">
        <v>38</v>
      </c>
      <c r="C70" s="13" t="s">
        <v>299</v>
      </c>
      <c r="D70" s="13"/>
      <c r="E70" s="14" t="n">
        <f aca="false">SUMIFS(E71:E74,D71:D74,"&lt;&gt;")</f>
        <v>10</v>
      </c>
      <c r="F70" s="13"/>
      <c r="G70" s="15" t="n">
        <f aca="false">IFERROR(SUMIFS(E71:E74,G71:G74,"Done",D71:D74,"&lt;&gt;")/E70,0)</f>
        <v>0</v>
      </c>
      <c r="H70" s="16" t="n">
        <f aca="false">MIN(H71:H74)</f>
        <v>46335</v>
      </c>
      <c r="I70" s="16" t="n">
        <f aca="false">MAX(I71:I74)</f>
        <v>46338</v>
      </c>
    </row>
    <row r="71" customFormat="false" ht="15" hidden="false" customHeight="false" outlineLevel="0" collapsed="false">
      <c r="A71" s="7" t="s">
        <v>300</v>
      </c>
      <c r="B71" s="7" t="s">
        <v>38</v>
      </c>
      <c r="C71" s="7" t="s">
        <v>301</v>
      </c>
      <c r="D71" s="7" t="s">
        <v>27</v>
      </c>
      <c r="E71" s="17" t="n">
        <v>3</v>
      </c>
      <c r="F71" s="7" t="s">
        <v>302</v>
      </c>
      <c r="G71" s="8" t="s">
        <v>137</v>
      </c>
      <c r="H71" s="18" t="n">
        <v>46335</v>
      </c>
      <c r="I71" s="18" t="n">
        <v>46338</v>
      </c>
    </row>
    <row r="72" customFormat="false" ht="15" hidden="false" customHeight="false" outlineLevel="0" collapsed="false">
      <c r="A72" s="7" t="s">
        <v>303</v>
      </c>
      <c r="B72" s="7" t="s">
        <v>38</v>
      </c>
      <c r="C72" s="7" t="s">
        <v>304</v>
      </c>
      <c r="D72" s="7" t="s">
        <v>26</v>
      </c>
      <c r="E72" s="17" t="n">
        <v>2</v>
      </c>
      <c r="F72" s="7" t="s">
        <v>305</v>
      </c>
      <c r="G72" s="8" t="s">
        <v>137</v>
      </c>
      <c r="H72" s="18" t="n">
        <v>46337</v>
      </c>
      <c r="I72" s="18" t="n">
        <v>46338</v>
      </c>
    </row>
    <row r="73" customFormat="false" ht="15" hidden="false" customHeight="false" outlineLevel="0" collapsed="false">
      <c r="A73" s="7" t="s">
        <v>306</v>
      </c>
      <c r="B73" s="7" t="s">
        <v>38</v>
      </c>
      <c r="C73" s="7" t="s">
        <v>307</v>
      </c>
      <c r="D73" s="7" t="s">
        <v>27</v>
      </c>
      <c r="E73" s="17" t="n">
        <v>2</v>
      </c>
      <c r="F73" s="7" t="s">
        <v>308</v>
      </c>
      <c r="G73" s="8" t="s">
        <v>137</v>
      </c>
      <c r="H73" s="18" t="n">
        <v>46336</v>
      </c>
      <c r="I73" s="18" t="n">
        <v>46338</v>
      </c>
    </row>
    <row r="74" customFormat="false" ht="15" hidden="false" customHeight="false" outlineLevel="0" collapsed="false">
      <c r="A74" s="7" t="s">
        <v>309</v>
      </c>
      <c r="B74" s="7" t="s">
        <v>38</v>
      </c>
      <c r="C74" s="7" t="s">
        <v>310</v>
      </c>
      <c r="D74" s="7" t="s">
        <v>26</v>
      </c>
      <c r="E74" s="17" t="n">
        <v>3</v>
      </c>
      <c r="F74" s="7" t="s">
        <v>311</v>
      </c>
      <c r="G74" s="8" t="s">
        <v>137</v>
      </c>
      <c r="H74" s="18" t="n">
        <v>46337</v>
      </c>
      <c r="I74" s="18" t="n">
        <v>46338</v>
      </c>
    </row>
    <row r="75" customFormat="false" ht="15" hidden="false" customHeight="false" outlineLevel="0" collapsed="false">
      <c r="A75" s="13" t="s">
        <v>312</v>
      </c>
      <c r="B75" s="13" t="s">
        <v>38</v>
      </c>
      <c r="C75" s="13" t="s">
        <v>313</v>
      </c>
      <c r="D75" s="13"/>
      <c r="E75" s="14" t="n">
        <f aca="false">SUMIFS(E76:E80,D76:D80,"&lt;&gt;")</f>
        <v>14</v>
      </c>
      <c r="F75" s="13"/>
      <c r="G75" s="15" t="n">
        <f aca="false">IFERROR(SUMIFS(E76:E80,G76:G80,"Done",D76:D80,"&lt;&gt;")/E75,0)</f>
        <v>0</v>
      </c>
      <c r="H75" s="16" t="n">
        <f aca="false">MIN(H76:H80)</f>
        <v>46333</v>
      </c>
      <c r="I75" s="16" t="n">
        <f aca="false">MAX(I76:I80)</f>
        <v>46336</v>
      </c>
    </row>
    <row r="76" customFormat="false" ht="15" hidden="false" customHeight="false" outlineLevel="0" collapsed="false">
      <c r="A76" s="7" t="s">
        <v>314</v>
      </c>
      <c r="B76" s="7" t="s">
        <v>38</v>
      </c>
      <c r="C76" s="7" t="s">
        <v>315</v>
      </c>
      <c r="D76" s="7" t="s">
        <v>27</v>
      </c>
      <c r="E76" s="17" t="n">
        <v>3</v>
      </c>
      <c r="F76" s="7" t="s">
        <v>194</v>
      </c>
      <c r="G76" s="8" t="s">
        <v>137</v>
      </c>
      <c r="H76" s="18" t="n">
        <v>46333</v>
      </c>
      <c r="I76" s="18" t="n">
        <v>46334</v>
      </c>
    </row>
    <row r="77" customFormat="false" ht="15" hidden="false" customHeight="false" outlineLevel="0" collapsed="false">
      <c r="A77" s="7" t="s">
        <v>316</v>
      </c>
      <c r="B77" s="7" t="s">
        <v>38</v>
      </c>
      <c r="C77" s="7" t="s">
        <v>317</v>
      </c>
      <c r="D77" s="7" t="s">
        <v>27</v>
      </c>
      <c r="E77" s="17" t="n">
        <v>2</v>
      </c>
      <c r="F77" s="7" t="s">
        <v>194</v>
      </c>
      <c r="G77" s="8" t="s">
        <v>137</v>
      </c>
      <c r="H77" s="18" t="n">
        <v>46334</v>
      </c>
      <c r="I77" s="18" t="n">
        <v>46335</v>
      </c>
    </row>
    <row r="78" customFormat="false" ht="15" hidden="false" customHeight="false" outlineLevel="0" collapsed="false">
      <c r="A78" s="7" t="s">
        <v>318</v>
      </c>
      <c r="B78" s="7" t="s">
        <v>38</v>
      </c>
      <c r="C78" s="7" t="s">
        <v>319</v>
      </c>
      <c r="D78" s="7" t="s">
        <v>26</v>
      </c>
      <c r="E78" s="17" t="n">
        <v>3</v>
      </c>
      <c r="F78" s="7" t="s">
        <v>194</v>
      </c>
      <c r="G78" s="8" t="s">
        <v>137</v>
      </c>
      <c r="H78" s="18" t="n">
        <v>46333</v>
      </c>
      <c r="I78" s="18" t="n">
        <v>46334</v>
      </c>
    </row>
    <row r="79" customFormat="false" ht="15" hidden="false" customHeight="false" outlineLevel="0" collapsed="false">
      <c r="A79" s="7" t="s">
        <v>320</v>
      </c>
      <c r="B79" s="7" t="s">
        <v>38</v>
      </c>
      <c r="C79" s="7" t="s">
        <v>321</v>
      </c>
      <c r="D79" s="7" t="s">
        <v>26</v>
      </c>
      <c r="E79" s="17" t="n">
        <v>3</v>
      </c>
      <c r="F79" s="7" t="s">
        <v>194</v>
      </c>
      <c r="G79" s="8" t="s">
        <v>137</v>
      </c>
      <c r="H79" s="18" t="n">
        <v>46334</v>
      </c>
      <c r="I79" s="18" t="n">
        <v>46335</v>
      </c>
    </row>
    <row r="80" customFormat="false" ht="15" hidden="false" customHeight="false" outlineLevel="0" collapsed="false">
      <c r="A80" s="7" t="s">
        <v>322</v>
      </c>
      <c r="B80" s="7" t="s">
        <v>38</v>
      </c>
      <c r="C80" s="7" t="s">
        <v>323</v>
      </c>
      <c r="D80" s="7" t="s">
        <v>27</v>
      </c>
      <c r="E80" s="17" t="n">
        <v>3</v>
      </c>
      <c r="F80" s="7" t="s">
        <v>194</v>
      </c>
      <c r="G80" s="8" t="s">
        <v>137</v>
      </c>
      <c r="H80" s="18" t="n">
        <v>46335</v>
      </c>
      <c r="I80" s="18" t="n">
        <v>46336</v>
      </c>
    </row>
    <row r="81" customFormat="false" ht="15" hidden="false" customHeight="false" outlineLevel="0" collapsed="false">
      <c r="A81" s="13" t="s">
        <v>324</v>
      </c>
      <c r="B81" s="13" t="s">
        <v>38</v>
      </c>
      <c r="C81" s="13" t="s">
        <v>325</v>
      </c>
      <c r="D81" s="13"/>
      <c r="E81" s="14" t="n">
        <f aca="false">SUMIFS(E82:E84,D82:D84,"&lt;&gt;")</f>
        <v>8</v>
      </c>
      <c r="F81" s="13"/>
      <c r="G81" s="15" t="n">
        <f aca="false">IFERROR(SUMIFS(E82:E84,G82:G84,"Done",D82:D84,"&lt;&gt;")/E81,0)</f>
        <v>0</v>
      </c>
      <c r="H81" s="16" t="n">
        <f aca="false">MIN(H82:H84)</f>
        <v>46333</v>
      </c>
      <c r="I81" s="16" t="n">
        <f aca="false">MAX(I82:I84)</f>
        <v>46337</v>
      </c>
    </row>
    <row r="82" customFormat="false" ht="15" hidden="false" customHeight="false" outlineLevel="0" collapsed="false">
      <c r="A82" s="7" t="s">
        <v>326</v>
      </c>
      <c r="B82" s="7" t="s">
        <v>38</v>
      </c>
      <c r="C82" s="7" t="s">
        <v>327</v>
      </c>
      <c r="D82" s="7" t="s">
        <v>27</v>
      </c>
      <c r="E82" s="17" t="n">
        <v>2</v>
      </c>
      <c r="F82" s="7" t="s">
        <v>328</v>
      </c>
      <c r="G82" s="8" t="s">
        <v>137</v>
      </c>
      <c r="H82" s="18" t="n">
        <v>46334</v>
      </c>
      <c r="I82" s="18" t="n">
        <v>46336</v>
      </c>
    </row>
    <row r="83" customFormat="false" ht="15" hidden="false" customHeight="false" outlineLevel="0" collapsed="false">
      <c r="A83" s="7" t="s">
        <v>329</v>
      </c>
      <c r="B83" s="7" t="s">
        <v>38</v>
      </c>
      <c r="C83" s="7" t="s">
        <v>330</v>
      </c>
      <c r="D83" s="7" t="s">
        <v>26</v>
      </c>
      <c r="E83" s="17" t="n">
        <v>4</v>
      </c>
      <c r="F83" s="7" t="s">
        <v>331</v>
      </c>
      <c r="G83" s="8" t="s">
        <v>137</v>
      </c>
      <c r="H83" s="18" t="n">
        <v>46336</v>
      </c>
      <c r="I83" s="18" t="n">
        <v>46337</v>
      </c>
    </row>
    <row r="84" customFormat="false" ht="15" hidden="false" customHeight="false" outlineLevel="0" collapsed="false">
      <c r="A84" s="7" t="s">
        <v>332</v>
      </c>
      <c r="B84" s="7" t="s">
        <v>38</v>
      </c>
      <c r="C84" s="7" t="s">
        <v>333</v>
      </c>
      <c r="D84" s="7" t="s">
        <v>135</v>
      </c>
      <c r="E84" s="17" t="n">
        <v>2</v>
      </c>
      <c r="F84" s="7" t="s">
        <v>215</v>
      </c>
      <c r="G84" s="8" t="s">
        <v>137</v>
      </c>
      <c r="H84" s="18" t="n">
        <v>46333</v>
      </c>
      <c r="I84" s="18" t="n">
        <v>46337</v>
      </c>
    </row>
    <row r="85" customFormat="false" ht="23.85" hidden="false" customHeight="false" outlineLevel="0" collapsed="false">
      <c r="A85" s="19" t="s">
        <v>334</v>
      </c>
      <c r="B85" s="19" t="s">
        <v>38</v>
      </c>
      <c r="C85" s="19" t="s">
        <v>335</v>
      </c>
      <c r="D85" s="19" t="s">
        <v>26</v>
      </c>
      <c r="E85" s="20" t="n">
        <v>0</v>
      </c>
      <c r="F85" s="19" t="s">
        <v>218</v>
      </c>
      <c r="G85" s="19"/>
      <c r="H85" s="21" t="n">
        <v>46338</v>
      </c>
      <c r="I85" s="21" t="n">
        <v>46338</v>
      </c>
    </row>
    <row r="86" customFormat="false" ht="51.75" hidden="false" customHeight="true" outlineLevel="0" collapsed="false">
      <c r="A86" s="9" t="s">
        <v>336</v>
      </c>
      <c r="B86" s="9" t="s">
        <v>44</v>
      </c>
      <c r="C86" s="9" t="s">
        <v>337</v>
      </c>
      <c r="D86" s="9"/>
      <c r="E86" s="10" t="n">
        <f aca="false">SUMIFS(E87:E96,D87:D96,"&lt;&gt;")</f>
        <v>18</v>
      </c>
      <c r="F86" s="9" t="s">
        <v>338</v>
      </c>
      <c r="G86" s="11" t="n">
        <f aca="false">IFERROR(SUMIFS(E87:E96,G87:G96,"Done",D87:D96,"&lt;&gt;")/E86,0)</f>
        <v>0</v>
      </c>
      <c r="H86" s="12" t="n">
        <f aca="false">MIN(H87:H96)</f>
        <v>46339</v>
      </c>
      <c r="I86" s="12" t="n">
        <f aca="false">MAX(I87:I96)</f>
        <v>46343</v>
      </c>
    </row>
    <row r="87" customFormat="false" ht="15" hidden="false" customHeight="false" outlineLevel="0" collapsed="false">
      <c r="A87" s="13" t="s">
        <v>339</v>
      </c>
      <c r="B87" s="13" t="s">
        <v>44</v>
      </c>
      <c r="C87" s="13" t="s">
        <v>340</v>
      </c>
      <c r="D87" s="13"/>
      <c r="E87" s="14" t="n">
        <f aca="false">SUMIFS(E88:E89,D88:D89,"&lt;&gt;")</f>
        <v>4</v>
      </c>
      <c r="F87" s="13"/>
      <c r="G87" s="15" t="n">
        <f aca="false">IFERROR(SUMIFS(E88:E89,G88:G89,"Done",D88:D89,"&lt;&gt;")/E87,0)</f>
        <v>0</v>
      </c>
      <c r="H87" s="16" t="n">
        <f aca="false">MIN(H88:H89)</f>
        <v>46339</v>
      </c>
      <c r="I87" s="16" t="n">
        <f aca="false">MAX(I88:I89)</f>
        <v>46340</v>
      </c>
    </row>
    <row r="88" customFormat="false" ht="15" hidden="false" customHeight="false" outlineLevel="0" collapsed="false">
      <c r="A88" s="7" t="s">
        <v>341</v>
      </c>
      <c r="B88" s="7" t="s">
        <v>44</v>
      </c>
      <c r="C88" s="7" t="s">
        <v>342</v>
      </c>
      <c r="D88" s="7" t="s">
        <v>135</v>
      </c>
      <c r="E88" s="17" t="n">
        <v>2</v>
      </c>
      <c r="F88" s="7" t="s">
        <v>343</v>
      </c>
      <c r="G88" s="8" t="s">
        <v>137</v>
      </c>
      <c r="H88" s="18" t="n">
        <v>46339</v>
      </c>
      <c r="I88" s="18" t="n">
        <v>46339</v>
      </c>
    </row>
    <row r="89" customFormat="false" ht="15" hidden="false" customHeight="false" outlineLevel="0" collapsed="false">
      <c r="A89" s="7" t="s">
        <v>344</v>
      </c>
      <c r="B89" s="7" t="s">
        <v>44</v>
      </c>
      <c r="C89" s="7" t="s">
        <v>345</v>
      </c>
      <c r="D89" s="7" t="s">
        <v>26</v>
      </c>
      <c r="E89" s="17" t="n">
        <v>2</v>
      </c>
      <c r="F89" s="7" t="s">
        <v>346</v>
      </c>
      <c r="G89" s="8" t="s">
        <v>137</v>
      </c>
      <c r="H89" s="18" t="n">
        <v>46339</v>
      </c>
      <c r="I89" s="18" t="n">
        <v>46340</v>
      </c>
    </row>
    <row r="90" customFormat="false" ht="15" hidden="false" customHeight="false" outlineLevel="0" collapsed="false">
      <c r="A90" s="13" t="s">
        <v>347</v>
      </c>
      <c r="B90" s="13" t="s">
        <v>44</v>
      </c>
      <c r="C90" s="13" t="s">
        <v>348</v>
      </c>
      <c r="D90" s="13"/>
      <c r="E90" s="14" t="n">
        <f aca="false">SUMIFS(E91:E95,D91:D95,"&lt;&gt;")</f>
        <v>14</v>
      </c>
      <c r="F90" s="13"/>
      <c r="G90" s="15" t="n">
        <f aca="false">IFERROR(SUMIFS(E91:E95,G91:G95,"Done",D91:D95,"&lt;&gt;")/E90,0)</f>
        <v>0</v>
      </c>
      <c r="H90" s="16" t="n">
        <f aca="false">MIN(H91:H95)</f>
        <v>46339</v>
      </c>
      <c r="I90" s="16" t="n">
        <f aca="false">MAX(I91:I95)</f>
        <v>46343</v>
      </c>
    </row>
    <row r="91" customFormat="false" ht="23.85" hidden="false" customHeight="false" outlineLevel="0" collapsed="false">
      <c r="A91" s="7" t="s">
        <v>349</v>
      </c>
      <c r="B91" s="7" t="s">
        <v>44</v>
      </c>
      <c r="C91" s="7" t="s">
        <v>350</v>
      </c>
      <c r="D91" s="7" t="s">
        <v>27</v>
      </c>
      <c r="E91" s="17" t="n">
        <v>4</v>
      </c>
      <c r="F91" s="7" t="s">
        <v>351</v>
      </c>
      <c r="G91" s="8" t="s">
        <v>137</v>
      </c>
      <c r="H91" s="18" t="n">
        <v>46339</v>
      </c>
      <c r="I91" s="18" t="n">
        <v>46341</v>
      </c>
    </row>
    <row r="92" customFormat="false" ht="15" hidden="false" customHeight="false" outlineLevel="0" collapsed="false">
      <c r="A92" s="7" t="s">
        <v>352</v>
      </c>
      <c r="B92" s="7" t="s">
        <v>44</v>
      </c>
      <c r="C92" s="7" t="s">
        <v>353</v>
      </c>
      <c r="D92" s="7" t="s">
        <v>26</v>
      </c>
      <c r="E92" s="17" t="n">
        <v>3</v>
      </c>
      <c r="F92" s="7" t="s">
        <v>354</v>
      </c>
      <c r="G92" s="8" t="s">
        <v>137</v>
      </c>
      <c r="H92" s="18" t="n">
        <v>46339</v>
      </c>
      <c r="I92" s="18" t="n">
        <v>46341</v>
      </c>
    </row>
    <row r="93" customFormat="false" ht="15" hidden="false" customHeight="false" outlineLevel="0" collapsed="false">
      <c r="A93" s="7" t="s">
        <v>355</v>
      </c>
      <c r="B93" s="7" t="s">
        <v>44</v>
      </c>
      <c r="C93" s="7" t="s">
        <v>356</v>
      </c>
      <c r="D93" s="7" t="s">
        <v>135</v>
      </c>
      <c r="E93" s="17" t="n">
        <v>4</v>
      </c>
      <c r="F93" s="7" t="s">
        <v>357</v>
      </c>
      <c r="G93" s="8" t="s">
        <v>137</v>
      </c>
      <c r="H93" s="18" t="n">
        <v>46340</v>
      </c>
      <c r="I93" s="18" t="n">
        <v>46341</v>
      </c>
    </row>
    <row r="94" customFormat="false" ht="15" hidden="false" customHeight="false" outlineLevel="0" collapsed="false">
      <c r="A94" s="7" t="s">
        <v>358</v>
      </c>
      <c r="B94" s="7" t="s">
        <v>44</v>
      </c>
      <c r="C94" s="7" t="s">
        <v>359</v>
      </c>
      <c r="D94" s="7" t="s">
        <v>135</v>
      </c>
      <c r="E94" s="17" t="n">
        <v>1</v>
      </c>
      <c r="F94" s="7" t="s">
        <v>360</v>
      </c>
      <c r="G94" s="8" t="s">
        <v>137</v>
      </c>
      <c r="H94" s="18" t="n">
        <v>46341</v>
      </c>
      <c r="I94" s="18" t="n">
        <v>46341</v>
      </c>
    </row>
    <row r="95" customFormat="false" ht="15" hidden="false" customHeight="false" outlineLevel="0" collapsed="false">
      <c r="A95" s="7" t="s">
        <v>361</v>
      </c>
      <c r="B95" s="7" t="s">
        <v>44</v>
      </c>
      <c r="C95" s="7" t="s">
        <v>362</v>
      </c>
      <c r="D95" s="7" t="s">
        <v>135</v>
      </c>
      <c r="E95" s="17" t="n">
        <v>2</v>
      </c>
      <c r="F95" s="7" t="s">
        <v>363</v>
      </c>
      <c r="G95" s="8" t="s">
        <v>137</v>
      </c>
      <c r="H95" s="18" t="n">
        <v>46342</v>
      </c>
      <c r="I95" s="18" t="n">
        <v>46343</v>
      </c>
    </row>
    <row r="96" customFormat="false" ht="15" hidden="false" customHeight="false" outlineLevel="0" collapsed="false">
      <c r="A96" s="19" t="s">
        <v>364</v>
      </c>
      <c r="B96" s="19" t="s">
        <v>44</v>
      </c>
      <c r="C96" s="19" t="s">
        <v>365</v>
      </c>
      <c r="D96" s="19" t="s">
        <v>135</v>
      </c>
      <c r="E96" s="20" t="n">
        <v>0</v>
      </c>
      <c r="F96" s="19"/>
      <c r="G96" s="19"/>
      <c r="H96" s="21" t="n">
        <v>46343</v>
      </c>
      <c r="I96" s="21" t="n">
        <v>46343</v>
      </c>
    </row>
    <row r="98" customFormat="false" ht="15" hidden="false" customHeight="false" outlineLevel="0" collapsed="false">
      <c r="C98" s="3" t="s">
        <v>366</v>
      </c>
      <c r="E98" s="22" t="n">
        <f aca="false">E5+E37+E65</f>
        <v>152.5</v>
      </c>
    </row>
    <row r="99" customFormat="false" ht="15" hidden="false" customHeight="false" outlineLevel="0" collapsed="false">
      <c r="C99" s="3" t="s">
        <v>367</v>
      </c>
      <c r="E99" s="22" t="n">
        <f aca="false">E86</f>
        <v>18</v>
      </c>
    </row>
  </sheetData>
  <dataValidations count="2">
    <dataValidation allowBlank="true" errorStyle="stop" operator="between" showDropDown="false" showErrorMessage="false" showInputMessage="false" sqref="G7:G9 G11:G23 G25:G31 G33:G35 G39:G41 G43:G47 G49:G59 G61:G63 G67:G69 G71:G74 G76:G80 G82:G84 G88:G89 G91:G95" type="list">
      <formula1>"To Do,In Progress,Done"</formula1>
      <formula2>0</formula2>
    </dataValidation>
    <dataValidation allowBlank="true" errorStyle="stop" operator="between" showDropDown="false" showErrorMessage="false" showInputMessage="false" sqref="D7:D9 D11:D23 D25:D31 D33:D35 D39:D41 D43:D47 D49:D59 D61:D63 D67:D69 D71:D74 D76:D80 D82:D84 D88:D89 D91:D95" type="list">
      <formula1>"Hồ Du Tuấn Đạt,Nguyễn Minh Chính,Both"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22"/>
    <col collapsed="false" customWidth="true" hidden="false" outlineLevel="0" max="4" min="4" style="0" width="58"/>
    <col collapsed="false" customWidth="true" hidden="false" outlineLevel="0" max="5" min="5" style="0" width="7"/>
    <col collapsed="false" customWidth="true" hidden="false" outlineLevel="0" max="6" min="6" style="0" width="13"/>
    <col collapsed="false" customWidth="true" hidden="false" outlineLevel="0" max="7" min="7" style="0" width="10"/>
    <col collapsed="false" customWidth="true" hidden="false" outlineLevel="0" max="8" min="8" style="0" width="20"/>
    <col collapsed="false" customWidth="true" hidden="false" outlineLevel="0" max="9" min="9" style="0" width="56"/>
  </cols>
  <sheetData>
    <row r="1" customFormat="false" ht="17.35" hidden="false" customHeight="false" outlineLevel="0" collapsed="false">
      <c r="A1" s="1" t="s">
        <v>368</v>
      </c>
    </row>
    <row r="2" customFormat="false" ht="15" hidden="false" customHeight="false" outlineLevel="0" collapsed="false">
      <c r="A2" s="2" t="s">
        <v>369</v>
      </c>
    </row>
    <row r="4" customFormat="false" ht="15" hidden="false" customHeight="false" outlineLevel="0" collapsed="false">
      <c r="A4" s="6" t="s">
        <v>370</v>
      </c>
      <c r="B4" s="6" t="s">
        <v>371</v>
      </c>
      <c r="C4" s="6" t="s">
        <v>372</v>
      </c>
      <c r="D4" s="6" t="s">
        <v>373</v>
      </c>
      <c r="E4" s="6" t="s">
        <v>374</v>
      </c>
      <c r="F4" s="6" t="s">
        <v>375</v>
      </c>
      <c r="G4" s="6" t="s">
        <v>16</v>
      </c>
      <c r="H4" s="6" t="s">
        <v>376</v>
      </c>
      <c r="I4" s="6" t="s">
        <v>377</v>
      </c>
    </row>
    <row r="5" customFormat="false" ht="23.85" hidden="false" customHeight="false" outlineLevel="0" collapsed="false">
      <c r="A5" s="7" t="s">
        <v>378</v>
      </c>
      <c r="B5" s="7" t="s">
        <v>379</v>
      </c>
      <c r="C5" s="7" t="s">
        <v>380</v>
      </c>
      <c r="D5" s="7" t="s">
        <v>381</v>
      </c>
      <c r="E5" s="7" t="str">
        <f aca="false">IFERROR(IF(INDEX(8_PlanningPoker!$F$9:$F$24,MATCH(A5,8_PlanningPoker!$A$9:$A$24,0))="","",INDEX(8_PlanningPoker!$F$9:$F$24,MATCH(A5,8_PlanningPoker!$A$9:$A$24,0))),"")</f>
        <v/>
      </c>
      <c r="F5" s="7" t="s">
        <v>382</v>
      </c>
      <c r="G5" s="8" t="s">
        <v>24</v>
      </c>
      <c r="H5" s="7" t="s">
        <v>26</v>
      </c>
      <c r="I5" s="7" t="s">
        <v>383</v>
      </c>
    </row>
    <row r="6" customFormat="false" ht="23.85" hidden="false" customHeight="false" outlineLevel="0" collapsed="false">
      <c r="A6" s="7" t="s">
        <v>384</v>
      </c>
      <c r="B6" s="7" t="s">
        <v>379</v>
      </c>
      <c r="C6" s="7" t="s">
        <v>380</v>
      </c>
      <c r="D6" s="7" t="s">
        <v>385</v>
      </c>
      <c r="E6" s="7" t="str">
        <f aca="false">IFERROR(IF(INDEX(8_PlanningPoker!$F$9:$F$24,MATCH(A6,8_PlanningPoker!$A$9:$A$24,0))="","",INDEX(8_PlanningPoker!$F$9:$F$24,MATCH(A6,8_PlanningPoker!$A$9:$A$24,0))),"")</f>
        <v/>
      </c>
      <c r="F6" s="7" t="s">
        <v>382</v>
      </c>
      <c r="G6" s="8" t="s">
        <v>24</v>
      </c>
      <c r="H6" s="7" t="s">
        <v>26</v>
      </c>
      <c r="I6" s="7" t="s">
        <v>386</v>
      </c>
    </row>
    <row r="7" customFormat="false" ht="23.85" hidden="false" customHeight="false" outlineLevel="0" collapsed="false">
      <c r="A7" s="7" t="s">
        <v>387</v>
      </c>
      <c r="B7" s="7" t="s">
        <v>379</v>
      </c>
      <c r="C7" s="7" t="s">
        <v>380</v>
      </c>
      <c r="D7" s="7" t="s">
        <v>388</v>
      </c>
      <c r="E7" s="7" t="str">
        <f aca="false">IFERROR(IF(INDEX(8_PlanningPoker!$F$9:$F$24,MATCH(A7,8_PlanningPoker!$A$9:$A$24,0))="","",INDEX(8_PlanningPoker!$F$9:$F$24,MATCH(A7,8_PlanningPoker!$A$9:$A$24,0))),"")</f>
        <v/>
      </c>
      <c r="F7" s="7" t="s">
        <v>382</v>
      </c>
      <c r="G7" s="8" t="s">
        <v>24</v>
      </c>
      <c r="H7" s="7" t="s">
        <v>27</v>
      </c>
      <c r="I7" s="7" t="s">
        <v>389</v>
      </c>
    </row>
    <row r="8" customFormat="false" ht="23.85" hidden="false" customHeight="false" outlineLevel="0" collapsed="false">
      <c r="A8" s="7" t="s">
        <v>390</v>
      </c>
      <c r="B8" s="7" t="s">
        <v>391</v>
      </c>
      <c r="C8" s="7" t="s">
        <v>392</v>
      </c>
      <c r="D8" s="7" t="s">
        <v>393</v>
      </c>
      <c r="E8" s="7" t="str">
        <f aca="false">IFERROR(IF(INDEX(8_PlanningPoker!$F$9:$F$24,MATCH(A8,8_PlanningPoker!$A$9:$A$24,0))="","",INDEX(8_PlanningPoker!$F$9:$F$24,MATCH(A8,8_PlanningPoker!$A$9:$A$24,0))),"")</f>
        <v/>
      </c>
      <c r="F8" s="7" t="s">
        <v>382</v>
      </c>
      <c r="G8" s="8" t="s">
        <v>24</v>
      </c>
      <c r="H8" s="7" t="s">
        <v>26</v>
      </c>
      <c r="I8" s="7" t="s">
        <v>394</v>
      </c>
    </row>
    <row r="9" customFormat="false" ht="23.85" hidden="false" customHeight="false" outlineLevel="0" collapsed="false">
      <c r="A9" s="7" t="s">
        <v>395</v>
      </c>
      <c r="B9" s="7" t="s">
        <v>396</v>
      </c>
      <c r="C9" s="7" t="s">
        <v>397</v>
      </c>
      <c r="D9" s="7" t="s">
        <v>398</v>
      </c>
      <c r="E9" s="7" t="str">
        <f aca="false">IFERROR(IF(INDEX(8_PlanningPoker!$F$9:$F$24,MATCH(A9,8_PlanningPoker!$A$9:$A$24,0))="","",INDEX(8_PlanningPoker!$F$9:$F$24,MATCH(A9,8_PlanningPoker!$A$9:$A$24,0))),"")</f>
        <v/>
      </c>
      <c r="F9" s="7" t="s">
        <v>382</v>
      </c>
      <c r="G9" s="8" t="s">
        <v>32</v>
      </c>
      <c r="H9" s="7" t="s">
        <v>26</v>
      </c>
      <c r="I9" s="7" t="s">
        <v>399</v>
      </c>
    </row>
    <row r="10" customFormat="false" ht="15" hidden="false" customHeight="false" outlineLevel="0" collapsed="false">
      <c r="A10" s="7" t="s">
        <v>400</v>
      </c>
      <c r="B10" s="7" t="s">
        <v>396</v>
      </c>
      <c r="C10" s="7" t="s">
        <v>397</v>
      </c>
      <c r="D10" s="7" t="s">
        <v>401</v>
      </c>
      <c r="E10" s="7" t="str">
        <f aca="false">IFERROR(IF(INDEX(8_PlanningPoker!$F$9:$F$24,MATCH(A10,8_PlanningPoker!$A$9:$A$24,0))="","",INDEX(8_PlanningPoker!$F$9:$F$24,MATCH(A10,8_PlanningPoker!$A$9:$A$24,0))),"")</f>
        <v/>
      </c>
      <c r="F10" s="7" t="s">
        <v>382</v>
      </c>
      <c r="G10" s="8" t="s">
        <v>32</v>
      </c>
      <c r="H10" s="7" t="s">
        <v>26</v>
      </c>
      <c r="I10" s="7" t="s">
        <v>402</v>
      </c>
    </row>
    <row r="11" customFormat="false" ht="15" hidden="false" customHeight="false" outlineLevel="0" collapsed="false">
      <c r="A11" s="7" t="s">
        <v>403</v>
      </c>
      <c r="B11" s="7" t="s">
        <v>396</v>
      </c>
      <c r="C11" s="7" t="s">
        <v>397</v>
      </c>
      <c r="D11" s="7" t="s">
        <v>404</v>
      </c>
      <c r="E11" s="7" t="str">
        <f aca="false">IFERROR(IF(INDEX(8_PlanningPoker!$F$9:$F$24,MATCH(A11,8_PlanningPoker!$A$9:$A$24,0))="","",INDEX(8_PlanningPoker!$F$9:$F$24,MATCH(A11,8_PlanningPoker!$A$9:$A$24,0))),"")</f>
        <v/>
      </c>
      <c r="F11" s="7" t="s">
        <v>382</v>
      </c>
      <c r="G11" s="8" t="s">
        <v>32</v>
      </c>
      <c r="H11" s="7" t="s">
        <v>26</v>
      </c>
      <c r="I11" s="7" t="s">
        <v>405</v>
      </c>
    </row>
    <row r="12" customFormat="false" ht="15" hidden="false" customHeight="false" outlineLevel="0" collapsed="false">
      <c r="A12" s="7" t="s">
        <v>406</v>
      </c>
      <c r="B12" s="7" t="s">
        <v>396</v>
      </c>
      <c r="C12" s="7" t="s">
        <v>397</v>
      </c>
      <c r="D12" s="7" t="s">
        <v>407</v>
      </c>
      <c r="E12" s="7" t="str">
        <f aca="false">IFERROR(IF(INDEX(8_PlanningPoker!$F$9:$F$24,MATCH(A12,8_PlanningPoker!$A$9:$A$24,0))="","",INDEX(8_PlanningPoker!$F$9:$F$24,MATCH(A12,8_PlanningPoker!$A$9:$A$24,0))),"")</f>
        <v/>
      </c>
      <c r="F12" s="7" t="s">
        <v>382</v>
      </c>
      <c r="G12" s="8" t="s">
        <v>32</v>
      </c>
      <c r="H12" s="7" t="s">
        <v>27</v>
      </c>
      <c r="I12" s="7" t="s">
        <v>408</v>
      </c>
    </row>
    <row r="13" customFormat="false" ht="15" hidden="false" customHeight="false" outlineLevel="0" collapsed="false">
      <c r="A13" s="7" t="s">
        <v>409</v>
      </c>
      <c r="B13" s="7" t="s">
        <v>396</v>
      </c>
      <c r="C13" s="7" t="s">
        <v>397</v>
      </c>
      <c r="D13" s="7" t="s">
        <v>410</v>
      </c>
      <c r="E13" s="7" t="str">
        <f aca="false">IFERROR(IF(INDEX(8_PlanningPoker!$F$9:$F$24,MATCH(A13,8_PlanningPoker!$A$9:$A$24,0))="","",INDEX(8_PlanningPoker!$F$9:$F$24,MATCH(A13,8_PlanningPoker!$A$9:$A$24,0))),"")</f>
        <v/>
      </c>
      <c r="F13" s="7" t="s">
        <v>382</v>
      </c>
      <c r="G13" s="8" t="s">
        <v>32</v>
      </c>
      <c r="H13" s="7" t="s">
        <v>27</v>
      </c>
      <c r="I13" s="7" t="s">
        <v>408</v>
      </c>
    </row>
    <row r="14" customFormat="false" ht="23.85" hidden="false" customHeight="false" outlineLevel="0" collapsed="false">
      <c r="A14" s="7" t="s">
        <v>411</v>
      </c>
      <c r="B14" s="7" t="s">
        <v>412</v>
      </c>
      <c r="C14" s="7" t="s">
        <v>413</v>
      </c>
      <c r="D14" s="7" t="s">
        <v>414</v>
      </c>
      <c r="E14" s="7" t="str">
        <f aca="false">IFERROR(IF(INDEX(8_PlanningPoker!$F$9:$F$24,MATCH(A14,8_PlanningPoker!$A$9:$A$24,0))="","",INDEX(8_PlanningPoker!$F$9:$F$24,MATCH(A14,8_PlanningPoker!$A$9:$A$24,0))),"")</f>
        <v/>
      </c>
      <c r="F14" s="7" t="s">
        <v>382</v>
      </c>
      <c r="G14" s="8" t="s">
        <v>32</v>
      </c>
      <c r="H14" s="7" t="s">
        <v>27</v>
      </c>
      <c r="I14" s="7" t="s">
        <v>415</v>
      </c>
    </row>
    <row r="15" customFormat="false" ht="15" hidden="false" customHeight="false" outlineLevel="0" collapsed="false">
      <c r="A15" s="7" t="s">
        <v>416</v>
      </c>
      <c r="B15" s="7" t="s">
        <v>412</v>
      </c>
      <c r="C15" s="7" t="s">
        <v>392</v>
      </c>
      <c r="D15" s="7" t="s">
        <v>417</v>
      </c>
      <c r="E15" s="7" t="str">
        <f aca="false">IFERROR(IF(INDEX(8_PlanningPoker!$F$9:$F$24,MATCH(A15,8_PlanningPoker!$A$9:$A$24,0))="","",INDEX(8_PlanningPoker!$F$9:$F$24,MATCH(A15,8_PlanningPoker!$A$9:$A$24,0))),"")</f>
        <v/>
      </c>
      <c r="F15" s="7" t="s">
        <v>382</v>
      </c>
      <c r="G15" s="8" t="s">
        <v>32</v>
      </c>
      <c r="H15" s="7" t="s">
        <v>26</v>
      </c>
      <c r="I15" s="7" t="s">
        <v>418</v>
      </c>
    </row>
    <row r="16" customFormat="false" ht="23.85" hidden="false" customHeight="false" outlineLevel="0" collapsed="false">
      <c r="A16" s="7" t="s">
        <v>419</v>
      </c>
      <c r="B16" s="7" t="s">
        <v>391</v>
      </c>
      <c r="C16" s="7" t="s">
        <v>392</v>
      </c>
      <c r="D16" s="7" t="s">
        <v>420</v>
      </c>
      <c r="E16" s="7" t="str">
        <f aca="false">IFERROR(IF(INDEX(8_PlanningPoker!$F$9:$F$24,MATCH(A16,8_PlanningPoker!$A$9:$A$24,0))="","",INDEX(8_PlanningPoker!$F$9:$F$24,MATCH(A16,8_PlanningPoker!$A$9:$A$24,0))),"")</f>
        <v/>
      </c>
      <c r="F16" s="7" t="s">
        <v>382</v>
      </c>
      <c r="G16" s="8" t="s">
        <v>32</v>
      </c>
      <c r="H16" s="7" t="s">
        <v>26</v>
      </c>
      <c r="I16" s="7" t="s">
        <v>421</v>
      </c>
    </row>
    <row r="17" customFormat="false" ht="23.85" hidden="false" customHeight="false" outlineLevel="0" collapsed="false">
      <c r="A17" s="7" t="s">
        <v>422</v>
      </c>
      <c r="B17" s="7" t="s">
        <v>423</v>
      </c>
      <c r="C17" s="7" t="s">
        <v>413</v>
      </c>
      <c r="D17" s="7" t="s">
        <v>424</v>
      </c>
      <c r="E17" s="7" t="str">
        <f aca="false">IFERROR(IF(INDEX(8_PlanningPoker!$F$9:$F$24,MATCH(A17,8_PlanningPoker!$A$9:$A$24,0))="","",INDEX(8_PlanningPoker!$F$9:$F$24,MATCH(A17,8_PlanningPoker!$A$9:$A$24,0))),"")</f>
        <v/>
      </c>
      <c r="F17" s="7" t="s">
        <v>382</v>
      </c>
      <c r="G17" s="8" t="s">
        <v>38</v>
      </c>
      <c r="H17" s="7" t="s">
        <v>27</v>
      </c>
      <c r="I17" s="7" t="s">
        <v>425</v>
      </c>
    </row>
    <row r="18" customFormat="false" ht="23.85" hidden="false" customHeight="false" outlineLevel="0" collapsed="false">
      <c r="A18" s="7" t="s">
        <v>426</v>
      </c>
      <c r="B18" s="7" t="s">
        <v>427</v>
      </c>
      <c r="C18" s="7" t="s">
        <v>413</v>
      </c>
      <c r="D18" s="7" t="s">
        <v>428</v>
      </c>
      <c r="E18" s="7" t="str">
        <f aca="false">IFERROR(IF(INDEX(8_PlanningPoker!$F$9:$F$24,MATCH(A18,8_PlanningPoker!$A$9:$A$24,0))="","",INDEX(8_PlanningPoker!$F$9:$F$24,MATCH(A18,8_PlanningPoker!$A$9:$A$24,0))),"")</f>
        <v/>
      </c>
      <c r="F18" s="7" t="s">
        <v>382</v>
      </c>
      <c r="G18" s="8" t="s">
        <v>38</v>
      </c>
      <c r="H18" s="7" t="s">
        <v>26</v>
      </c>
      <c r="I18" s="7" t="s">
        <v>429</v>
      </c>
    </row>
    <row r="19" customFormat="false" ht="15" hidden="false" customHeight="false" outlineLevel="0" collapsed="false">
      <c r="A19" s="7" t="s">
        <v>430</v>
      </c>
      <c r="B19" s="7" t="s">
        <v>431</v>
      </c>
      <c r="C19" s="7" t="s">
        <v>380</v>
      </c>
      <c r="D19" s="7" t="s">
        <v>432</v>
      </c>
      <c r="E19" s="7" t="str">
        <f aca="false">IFERROR(IF(INDEX(8_PlanningPoker!$F$9:$F$24,MATCH(A19,8_PlanningPoker!$A$9:$A$24,0))="","",INDEX(8_PlanningPoker!$F$9:$F$24,MATCH(A19,8_PlanningPoker!$A$9:$A$24,0))),"")</f>
        <v/>
      </c>
      <c r="F19" s="7" t="s">
        <v>433</v>
      </c>
      <c r="G19" s="8" t="s">
        <v>434</v>
      </c>
      <c r="H19" s="7" t="s">
        <v>26</v>
      </c>
      <c r="I19" s="7" t="s">
        <v>435</v>
      </c>
    </row>
    <row r="20" customFormat="false" ht="15" hidden="false" customHeight="false" outlineLevel="0" collapsed="false">
      <c r="A20" s="7" t="s">
        <v>436</v>
      </c>
      <c r="B20" s="7" t="s">
        <v>396</v>
      </c>
      <c r="C20" s="7" t="s">
        <v>397</v>
      </c>
      <c r="D20" s="7" t="s">
        <v>437</v>
      </c>
      <c r="E20" s="7" t="str">
        <f aca="false">IFERROR(IF(INDEX(8_PlanningPoker!$F$9:$F$24,MATCH(A20,8_PlanningPoker!$A$9:$A$24,0))="","",INDEX(8_PlanningPoker!$F$9:$F$24,MATCH(A20,8_PlanningPoker!$A$9:$A$24,0))),"")</f>
        <v/>
      </c>
      <c r="F20" s="7" t="s">
        <v>433</v>
      </c>
      <c r="G20" s="8" t="s">
        <v>434</v>
      </c>
      <c r="H20" s="7" t="s">
        <v>26</v>
      </c>
      <c r="I20" s="7" t="s">
        <v>435</v>
      </c>
    </row>
    <row r="21" customFormat="false" ht="15" hidden="false" customHeight="false" outlineLevel="0" collapsed="false">
      <c r="A21" s="7" t="s">
        <v>438</v>
      </c>
      <c r="B21" s="7" t="s">
        <v>439</v>
      </c>
      <c r="C21" s="7" t="s">
        <v>380</v>
      </c>
      <c r="D21" s="7" t="s">
        <v>440</v>
      </c>
      <c r="E21" s="7" t="str">
        <f aca="false">IFERROR(IF(INDEX(8_PlanningPoker!$F$9:$F$24,MATCH(A21,8_PlanningPoker!$A$9:$A$24,0))="","",INDEX(8_PlanningPoker!$F$9:$F$24,MATCH(A21,8_PlanningPoker!$A$9:$A$24,0))),"")</f>
        <v/>
      </c>
      <c r="F21" s="7" t="s">
        <v>441</v>
      </c>
      <c r="G21" s="8" t="s">
        <v>442</v>
      </c>
      <c r="H21" s="7"/>
      <c r="I21" s="7" t="s">
        <v>443</v>
      </c>
    </row>
    <row r="22" customFormat="false" ht="15" hidden="false" customHeight="false" outlineLevel="0" collapsed="false">
      <c r="A22" s="7" t="s">
        <v>444</v>
      </c>
      <c r="B22" s="7" t="s">
        <v>439</v>
      </c>
      <c r="C22" s="7" t="s">
        <v>445</v>
      </c>
      <c r="D22" s="7" t="s">
        <v>446</v>
      </c>
      <c r="E22" s="7" t="str">
        <f aca="false">IFERROR(IF(INDEX(8_PlanningPoker!$F$9:$F$24,MATCH(A22,8_PlanningPoker!$A$9:$A$24,0))="","",INDEX(8_PlanningPoker!$F$9:$F$24,MATCH(A22,8_PlanningPoker!$A$9:$A$24,0))),"")</f>
        <v/>
      </c>
      <c r="F22" s="7" t="s">
        <v>441</v>
      </c>
      <c r="G22" s="8" t="s">
        <v>442</v>
      </c>
      <c r="H22" s="7"/>
      <c r="I22" s="7" t="s">
        <v>447</v>
      </c>
    </row>
    <row r="23" customFormat="false" ht="15" hidden="false" customHeight="false" outlineLevel="0" collapsed="false">
      <c r="A23" s="7" t="s">
        <v>448</v>
      </c>
      <c r="B23" s="7" t="s">
        <v>439</v>
      </c>
      <c r="C23" s="7" t="s">
        <v>445</v>
      </c>
      <c r="D23" s="7" t="s">
        <v>449</v>
      </c>
      <c r="E23" s="7" t="str">
        <f aca="false">IFERROR(IF(INDEX(8_PlanningPoker!$F$9:$F$24,MATCH(A23,8_PlanningPoker!$A$9:$A$24,0))="","",INDEX(8_PlanningPoker!$F$9:$F$24,MATCH(A23,8_PlanningPoker!$A$9:$A$24,0))),"")</f>
        <v/>
      </c>
      <c r="F23" s="7" t="s">
        <v>441</v>
      </c>
      <c r="G23" s="8" t="s">
        <v>442</v>
      </c>
      <c r="H23" s="7"/>
      <c r="I23" s="7" t="s">
        <v>450</v>
      </c>
    </row>
    <row r="24" customFormat="false" ht="15" hidden="false" customHeight="false" outlineLevel="0" collapsed="false">
      <c r="A24" s="7" t="s">
        <v>451</v>
      </c>
      <c r="B24" s="7" t="s">
        <v>439</v>
      </c>
      <c r="C24" s="7" t="s">
        <v>445</v>
      </c>
      <c r="D24" s="7" t="s">
        <v>452</v>
      </c>
      <c r="E24" s="7" t="str">
        <f aca="false">IFERROR(IF(INDEX(8_PlanningPoker!$F$9:$F$24,MATCH(A24,8_PlanningPoker!$A$9:$A$24,0))="","",INDEX(8_PlanningPoker!$F$9:$F$24,MATCH(A24,8_PlanningPoker!$A$9:$A$24,0))),"")</f>
        <v/>
      </c>
      <c r="F24" s="7" t="s">
        <v>441</v>
      </c>
      <c r="G24" s="8" t="s">
        <v>442</v>
      </c>
      <c r="H24" s="7"/>
      <c r="I24" s="7" t="s">
        <v>453</v>
      </c>
    </row>
    <row r="25" customFormat="false" ht="15" hidden="false" customHeight="false" outlineLevel="0" collapsed="false">
      <c r="A25" s="7" t="s">
        <v>454</v>
      </c>
      <c r="B25" s="7" t="s">
        <v>439</v>
      </c>
      <c r="C25" s="7" t="s">
        <v>445</v>
      </c>
      <c r="D25" s="7" t="s">
        <v>455</v>
      </c>
      <c r="E25" s="7" t="str">
        <f aca="false">IFERROR(IF(INDEX(8_PlanningPoker!$F$9:$F$24,MATCH(A25,8_PlanningPoker!$A$9:$A$24,0))="","",INDEX(8_PlanningPoker!$F$9:$F$24,MATCH(A25,8_PlanningPoker!$A$9:$A$24,0))),"")</f>
        <v/>
      </c>
      <c r="F25" s="7" t="s">
        <v>441</v>
      </c>
      <c r="G25" s="8" t="s">
        <v>442</v>
      </c>
      <c r="H25" s="7"/>
      <c r="I25" s="7" t="s">
        <v>456</v>
      </c>
    </row>
    <row r="26" customFormat="false" ht="15" hidden="false" customHeight="false" outlineLevel="0" collapsed="false">
      <c r="A26" s="7" t="s">
        <v>457</v>
      </c>
      <c r="B26" s="7" t="s">
        <v>439</v>
      </c>
      <c r="C26" s="7" t="s">
        <v>458</v>
      </c>
      <c r="D26" s="7" t="s">
        <v>459</v>
      </c>
      <c r="E26" s="7" t="str">
        <f aca="false">IFERROR(IF(INDEX(8_PlanningPoker!$F$9:$F$24,MATCH(A26,8_PlanningPoker!$A$9:$A$24,0))="","",INDEX(8_PlanningPoker!$F$9:$F$24,MATCH(A26,8_PlanningPoker!$A$9:$A$24,0))),"")</f>
        <v/>
      </c>
      <c r="F26" s="7" t="s">
        <v>441</v>
      </c>
      <c r="G26" s="8" t="s">
        <v>442</v>
      </c>
      <c r="H26" s="7"/>
      <c r="I26" s="7" t="s">
        <v>460</v>
      </c>
    </row>
    <row r="27" customFormat="false" ht="15" hidden="false" customHeight="false" outlineLevel="0" collapsed="false">
      <c r="A27" s="7" t="s">
        <v>461</v>
      </c>
      <c r="B27" s="7" t="s">
        <v>439</v>
      </c>
      <c r="C27" s="7" t="s">
        <v>458</v>
      </c>
      <c r="D27" s="7" t="s">
        <v>462</v>
      </c>
      <c r="E27" s="7" t="str">
        <f aca="false">IFERROR(IF(INDEX(8_PlanningPoker!$F$9:$F$24,MATCH(A27,8_PlanningPoker!$A$9:$A$24,0))="","",INDEX(8_PlanningPoker!$F$9:$F$24,MATCH(A27,8_PlanningPoker!$A$9:$A$24,0))),"")</f>
        <v/>
      </c>
      <c r="F27" s="7" t="s">
        <v>441</v>
      </c>
      <c r="G27" s="8" t="s">
        <v>442</v>
      </c>
      <c r="H27" s="7"/>
      <c r="I27" s="7" t="s">
        <v>463</v>
      </c>
    </row>
    <row r="28" customFormat="false" ht="15" hidden="false" customHeight="false" outlineLevel="0" collapsed="false">
      <c r="A28" s="7" t="s">
        <v>464</v>
      </c>
      <c r="B28" s="7" t="s">
        <v>439</v>
      </c>
      <c r="C28" s="7" t="s">
        <v>465</v>
      </c>
      <c r="D28" s="7" t="s">
        <v>466</v>
      </c>
      <c r="E28" s="7" t="str">
        <f aca="false">IFERROR(IF(INDEX(8_PlanningPoker!$F$9:$F$24,MATCH(A28,8_PlanningPoker!$A$9:$A$24,0))="","",INDEX(8_PlanningPoker!$F$9:$F$24,MATCH(A28,8_PlanningPoker!$A$9:$A$24,0))),"")</f>
        <v/>
      </c>
      <c r="F28" s="7" t="s">
        <v>441</v>
      </c>
      <c r="G28" s="8" t="s">
        <v>442</v>
      </c>
      <c r="H28" s="7"/>
      <c r="I28" s="7" t="s">
        <v>467</v>
      </c>
    </row>
    <row r="29" customFormat="false" ht="15" hidden="false" customHeight="false" outlineLevel="0" collapsed="false">
      <c r="A29" s="7" t="s">
        <v>468</v>
      </c>
      <c r="B29" s="7" t="s">
        <v>439</v>
      </c>
      <c r="C29" s="7" t="s">
        <v>465</v>
      </c>
      <c r="D29" s="7" t="s">
        <v>469</v>
      </c>
      <c r="E29" s="7" t="str">
        <f aca="false">IFERROR(IF(INDEX(8_PlanningPoker!$F$9:$F$24,MATCH(A29,8_PlanningPoker!$A$9:$A$24,0))="","",INDEX(8_PlanningPoker!$F$9:$F$24,MATCH(A29,8_PlanningPoker!$A$9:$A$24,0))),"")</f>
        <v/>
      </c>
      <c r="F29" s="7" t="s">
        <v>441</v>
      </c>
      <c r="G29" s="8" t="s">
        <v>442</v>
      </c>
      <c r="H29" s="7"/>
      <c r="I29" s="7" t="s">
        <v>460</v>
      </c>
    </row>
    <row r="30" customFormat="false" ht="23.85" hidden="false" customHeight="false" outlineLevel="0" collapsed="false">
      <c r="A30" s="7" t="s">
        <v>470</v>
      </c>
      <c r="B30" s="7" t="s">
        <v>439</v>
      </c>
      <c r="C30" s="7" t="s">
        <v>471</v>
      </c>
      <c r="D30" s="7" t="s">
        <v>472</v>
      </c>
      <c r="E30" s="7" t="str">
        <f aca="false">IFERROR(IF(INDEX(8_PlanningPoker!$F$9:$F$24,MATCH(A30,8_PlanningPoker!$A$9:$A$24,0))="","",INDEX(8_PlanningPoker!$F$9:$F$24,MATCH(A30,8_PlanningPoker!$A$9:$A$24,0))),"")</f>
        <v/>
      </c>
      <c r="F30" s="7" t="s">
        <v>441</v>
      </c>
      <c r="G30" s="8" t="s">
        <v>442</v>
      </c>
      <c r="H30" s="7"/>
      <c r="I30" s="7" t="s">
        <v>473</v>
      </c>
    </row>
    <row r="31" customFormat="false" ht="23.85" hidden="false" customHeight="false" outlineLevel="0" collapsed="false">
      <c r="A31" s="7" t="s">
        <v>474</v>
      </c>
      <c r="B31" s="7" t="s">
        <v>439</v>
      </c>
      <c r="C31" s="7" t="s">
        <v>471</v>
      </c>
      <c r="D31" s="7" t="s">
        <v>475</v>
      </c>
      <c r="E31" s="7" t="str">
        <f aca="false">IFERROR(IF(INDEX(8_PlanningPoker!$F$9:$F$24,MATCH(A31,8_PlanningPoker!$A$9:$A$24,0))="","",INDEX(8_PlanningPoker!$F$9:$F$24,MATCH(A31,8_PlanningPoker!$A$9:$A$24,0))),"")</f>
        <v/>
      </c>
      <c r="F31" s="7" t="s">
        <v>441</v>
      </c>
      <c r="G31" s="8" t="s">
        <v>442</v>
      </c>
      <c r="H31" s="7"/>
      <c r="I31" s="7" t="s">
        <v>476</v>
      </c>
    </row>
    <row r="32" customFormat="false" ht="15" hidden="false" customHeight="false" outlineLevel="0" collapsed="false">
      <c r="A32" s="7" t="s">
        <v>477</v>
      </c>
      <c r="B32" s="7" t="s">
        <v>439</v>
      </c>
      <c r="C32" s="7" t="s">
        <v>392</v>
      </c>
      <c r="D32" s="7" t="s">
        <v>478</v>
      </c>
      <c r="E32" s="7" t="str">
        <f aca="false">IFERROR(IF(INDEX(8_PlanningPoker!$F$9:$F$24,MATCH(A32,8_PlanningPoker!$A$9:$A$24,0))="","",INDEX(8_PlanningPoker!$F$9:$F$24,MATCH(A32,8_PlanningPoker!$A$9:$A$24,0))),"")</f>
        <v/>
      </c>
      <c r="F32" s="7" t="s">
        <v>441</v>
      </c>
      <c r="G32" s="8" t="s">
        <v>442</v>
      </c>
      <c r="H32" s="7"/>
      <c r="I32" s="7" t="s">
        <v>479</v>
      </c>
    </row>
    <row r="33" customFormat="false" ht="23.85" hidden="false" customHeight="false" outlineLevel="0" collapsed="false">
      <c r="A33" s="7" t="s">
        <v>480</v>
      </c>
      <c r="B33" s="7" t="s">
        <v>439</v>
      </c>
      <c r="C33" s="7" t="s">
        <v>471</v>
      </c>
      <c r="D33" s="7" t="s">
        <v>481</v>
      </c>
      <c r="E33" s="7" t="str">
        <f aca="false">IFERROR(IF(INDEX(8_PlanningPoker!$F$9:$F$24,MATCH(A33,8_PlanningPoker!$A$9:$A$24,0))="","",INDEX(8_PlanningPoker!$F$9:$F$24,MATCH(A33,8_PlanningPoker!$A$9:$A$24,0))),"")</f>
        <v/>
      </c>
      <c r="F33" s="7" t="s">
        <v>441</v>
      </c>
      <c r="G33" s="8" t="s">
        <v>442</v>
      </c>
      <c r="H33" s="7"/>
      <c r="I33" s="7" t="s">
        <v>482</v>
      </c>
    </row>
    <row r="35" customFormat="false" ht="15" hidden="false" customHeight="false" outlineLevel="0" collapsed="false">
      <c r="D35" s="23" t="s">
        <v>483</v>
      </c>
    </row>
    <row r="36" customFormat="false" ht="15" hidden="false" customHeight="false" outlineLevel="0" collapsed="false">
      <c r="D36" s="6" t="s">
        <v>16</v>
      </c>
      <c r="E36" s="6" t="s">
        <v>374</v>
      </c>
      <c r="F36" s="6" t="s">
        <v>484</v>
      </c>
    </row>
    <row r="37" customFormat="false" ht="15" hidden="false" customHeight="false" outlineLevel="0" collapsed="false">
      <c r="D37" s="7" t="s">
        <v>24</v>
      </c>
      <c r="E37" s="7" t="str">
        <f aca="false">IF(SUMPRODUCT(--($G$5:$G$33=D37),--($E$5:$E$33=""))&gt;0,"TBD",SUMIFS($E$5:$E$33,$G$5:$G$33,D37))</f>
        <v>TBD</v>
      </c>
      <c r="F37" s="7" t="n">
        <f aca="false">COUNTIFS($G$5:$G$33,D37)</f>
        <v>4</v>
      </c>
    </row>
    <row r="38" customFormat="false" ht="15" hidden="false" customHeight="false" outlineLevel="0" collapsed="false">
      <c r="D38" s="7" t="s">
        <v>32</v>
      </c>
      <c r="E38" s="7" t="str">
        <f aca="false">IF(SUMPRODUCT(--($G$5:$G$33=D38),--($E$5:$E$33=""))&gt;0,"TBD",SUMIFS($E$5:$E$33,$G$5:$G$33,D38))</f>
        <v>TBD</v>
      </c>
      <c r="F38" s="7" t="n">
        <f aca="false">COUNTIFS($G$5:$G$33,D38)</f>
        <v>8</v>
      </c>
    </row>
    <row r="39" customFormat="false" ht="15" hidden="false" customHeight="false" outlineLevel="0" collapsed="false">
      <c r="D39" s="7" t="s">
        <v>38</v>
      </c>
      <c r="E39" s="7" t="str">
        <f aca="false">IF(SUMPRODUCT(--($G$5:$G$33=D39),--($E$5:$E$33=""))&gt;0,"TBD",SUMIFS($E$5:$E$33,$G$5:$G$33,D39))</f>
        <v>TBD</v>
      </c>
      <c r="F39" s="7" t="n">
        <f aca="false">COUNTIFS($G$5:$G$33,D39)</f>
        <v>2</v>
      </c>
    </row>
    <row r="40" customFormat="false" ht="15" hidden="false" customHeight="false" outlineLevel="0" collapsed="false">
      <c r="D40" s="7" t="s">
        <v>434</v>
      </c>
      <c r="E40" s="7" t="str">
        <f aca="false">IF(SUMPRODUCT(--($G$5:$G$33=D40),--($E$5:$E$33=""))&gt;0,"TBD",SUMIFS($E$5:$E$33,$G$5:$G$33,D40))</f>
        <v>TBD</v>
      </c>
      <c r="F40" s="7" t="n">
        <f aca="false">COUNTIFS($G$5:$G$33,D40)</f>
        <v>2</v>
      </c>
    </row>
    <row r="41" customFormat="false" ht="15" hidden="false" customHeight="false" outlineLevel="0" collapsed="false">
      <c r="D41" s="7" t="s">
        <v>442</v>
      </c>
      <c r="E41" s="7" t="s">
        <v>439</v>
      </c>
      <c r="F41" s="7" t="n">
        <f aca="false">COUNTIFS($G$5:$G$33,D41)</f>
        <v>13</v>
      </c>
    </row>
    <row r="42" customFormat="false" ht="15" hidden="false" customHeight="false" outlineLevel="0" collapsed="false">
      <c r="D42" s="3" t="s">
        <v>485</v>
      </c>
      <c r="E42" s="3" t="str">
        <f aca="false">IF(COUNT(E37:E39)=3,SUM(E37:E39),"TBD")</f>
        <v>TBD</v>
      </c>
      <c r="F42" s="3" t="n">
        <f aca="false">SUM(F37:F39)</f>
        <v>14</v>
      </c>
    </row>
    <row r="43" customFormat="false" ht="15" hidden="false" customHeight="false" outlineLevel="0" collapsed="false">
      <c r="D43" s="3" t="s">
        <v>486</v>
      </c>
      <c r="F43" s="3" t="n">
        <f aca="false">COUNTA(A5:A33)</f>
        <v>29</v>
      </c>
      <c r="G43" s="3" t="str">
        <f aca="false">IF(F43&gt;=15,"Met","Not met")</f>
        <v>Met</v>
      </c>
    </row>
  </sheetData>
  <dataValidations count="1">
    <dataValidation allowBlank="true" errorStyle="stop" operator="between" showDropDown="false" showErrorMessage="false" showInputMessage="false" sqref="G5:G33" type="list">
      <formula1>"Sprint 1,Sprint 2,Sprint 3,CR-06,Future"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44"/>
    <col collapsed="false" customWidth="true" hidden="false" outlineLevel="0" max="4" min="4" style="0" width="52"/>
    <col collapsed="false" customWidth="true" hidden="false" outlineLevel="0" max="5" min="5" style="0" width="22"/>
    <col collapsed="false" customWidth="true" hidden="false" outlineLevel="0" max="6" min="6" style="0" width="10"/>
    <col collapsed="false" customWidth="true" hidden="false" outlineLevel="0" max="7" min="7" style="0" width="11"/>
    <col collapsed="false" customWidth="true" hidden="false" outlineLevel="0" max="8" min="8" style="0" width="13"/>
    <col collapsed="false" customWidth="true" hidden="false" outlineLevel="0" max="9" min="9" style="0" width="10"/>
    <col collapsed="false" customWidth="true" hidden="false" outlineLevel="0" max="12" min="10" style="0" width="15"/>
  </cols>
  <sheetData>
    <row r="1" customFormat="false" ht="17.35" hidden="false" customHeight="false" outlineLevel="0" collapsed="false">
      <c r="A1" s="1" t="s">
        <v>487</v>
      </c>
    </row>
    <row r="2" customFormat="false" ht="15" hidden="false" customHeight="false" outlineLevel="0" collapsed="false">
      <c r="A2" s="2" t="s">
        <v>488</v>
      </c>
    </row>
    <row r="4" customFormat="false" ht="15" hidden="false" customHeight="false" outlineLevel="0" collapsed="false">
      <c r="A4" s="5" t="s">
        <v>489</v>
      </c>
    </row>
    <row r="5" customFormat="false" ht="15" hidden="false" customHeight="false" outlineLevel="0" collapsed="false">
      <c r="A5" s="7" t="s">
        <v>490</v>
      </c>
      <c r="B5" s="24" t="n">
        <v>2</v>
      </c>
      <c r="C5" s="7" t="s">
        <v>491</v>
      </c>
    </row>
    <row r="6" customFormat="false" ht="35.05" hidden="false" customHeight="false" outlineLevel="0" collapsed="false">
      <c r="A6" s="7" t="s">
        <v>492</v>
      </c>
      <c r="B6" s="25" t="n">
        <v>28</v>
      </c>
      <c r="C6" s="7" t="s">
        <v>493</v>
      </c>
    </row>
    <row r="7" customFormat="false" ht="15" hidden="false" customHeight="false" outlineLevel="0" collapsed="false">
      <c r="A7" s="7" t="s">
        <v>494</v>
      </c>
      <c r="B7" s="24" t="n">
        <v>3</v>
      </c>
      <c r="C7" s="7" t="s">
        <v>495</v>
      </c>
    </row>
    <row r="8" customFormat="false" ht="15" hidden="false" customHeight="false" outlineLevel="0" collapsed="false">
      <c r="A8" s="7" t="s">
        <v>496</v>
      </c>
      <c r="B8" s="24" t="n">
        <v>200000</v>
      </c>
      <c r="C8" s="7" t="s">
        <v>497</v>
      </c>
    </row>
    <row r="9" customFormat="false" ht="23.85" hidden="false" customHeight="false" outlineLevel="0" collapsed="false">
      <c r="A9" s="7" t="s">
        <v>498</v>
      </c>
      <c r="B9" s="24" t="n">
        <v>22</v>
      </c>
      <c r="C9" s="7" t="s">
        <v>499</v>
      </c>
    </row>
    <row r="10" customFormat="false" ht="15" hidden="false" customHeight="false" outlineLevel="0" collapsed="false">
      <c r="A10" s="7" t="s">
        <v>500</v>
      </c>
      <c r="B10" s="24" t="n">
        <v>80</v>
      </c>
      <c r="C10" s="7" t="s">
        <v>501</v>
      </c>
    </row>
    <row r="11" customFormat="false" ht="35.05" hidden="false" customHeight="false" outlineLevel="0" collapsed="false">
      <c r="A11" s="7" t="s">
        <v>502</v>
      </c>
      <c r="B11" s="22" t="n">
        <f aca="false">ROUND(B9*(B5*B6)/B10,1)</f>
        <v>15.4</v>
      </c>
      <c r="C11" s="7" t="s">
        <v>503</v>
      </c>
    </row>
    <row r="13" customFormat="false" ht="15" hidden="false" customHeight="false" outlineLevel="0" collapsed="false">
      <c r="A13" s="5" t="s">
        <v>504</v>
      </c>
    </row>
    <row r="14" customFormat="false" ht="23.85" hidden="false" customHeight="false" outlineLevel="0" collapsed="false">
      <c r="A14" s="6" t="s">
        <v>16</v>
      </c>
      <c r="B14" s="6" t="s">
        <v>17</v>
      </c>
      <c r="C14" s="6" t="s">
        <v>505</v>
      </c>
      <c r="D14" s="6" t="s">
        <v>506</v>
      </c>
      <c r="E14" s="6" t="s">
        <v>507</v>
      </c>
      <c r="F14" s="6" t="s">
        <v>508</v>
      </c>
      <c r="G14" s="6" t="s">
        <v>509</v>
      </c>
      <c r="H14" s="6" t="s">
        <v>510</v>
      </c>
      <c r="I14" s="6" t="s">
        <v>511</v>
      </c>
      <c r="J14" s="6" t="s">
        <v>512</v>
      </c>
      <c r="K14" s="6" t="s">
        <v>513</v>
      </c>
      <c r="L14" s="6" t="s">
        <v>514</v>
      </c>
    </row>
    <row r="15" customFormat="false" ht="63.75" hidden="false" customHeight="true" outlineLevel="0" collapsed="false">
      <c r="A15" s="7" t="s">
        <v>24</v>
      </c>
      <c r="B15" s="7" t="s">
        <v>515</v>
      </c>
      <c r="C15" s="7" t="s">
        <v>26</v>
      </c>
      <c r="D15" s="7" t="str">
        <f aca="false">2_MasterSchedule!F5</f>
        <v>Sprint Goal: an Administrator can create and lock accounts and a Customer can register, log in and log out, with admin functions blocked for every other role – F1 meets all its AC on the hosted URL; PMP v1.0 baselined.</v>
      </c>
      <c r="E15" s="7" t="s">
        <v>516</v>
      </c>
      <c r="F15" s="7" t="str">
        <f aca="false">3_ItemAllocation!E37</f>
        <v>TBD</v>
      </c>
      <c r="G15" s="17" t="n">
        <f aca="false">$B$5*$B$6</f>
        <v>56</v>
      </c>
      <c r="H15" s="17" t="n">
        <f aca="false">2_MasterSchedule!E5</f>
        <v>61.5</v>
      </c>
      <c r="I15" s="17" t="str">
        <f aca="false">IF(ISNUMBER(F15),IF(F15&gt;0,H15/F15,"TBD"),"TBD")</f>
        <v>TBD</v>
      </c>
      <c r="J15" s="26" t="n">
        <f aca="false">$B$23*1/$B$7</f>
        <v>10166666.6666667</v>
      </c>
      <c r="K15" s="7" t="str">
        <f aca="false">IF(ISNUMBER(F15),IF(F15&lt;=$B$11,"Within velocity","Over velocity"),"TBD")</f>
        <v>TBD</v>
      </c>
      <c r="L15" s="7" t="str">
        <f aca="false">IF(H15&lt;=G15,"Within capacity","Over capacity")</f>
        <v>Over capacity</v>
      </c>
    </row>
    <row r="16" customFormat="false" ht="63.75" hidden="false" customHeight="true" outlineLevel="0" collapsed="false">
      <c r="A16" s="7" t="s">
        <v>32</v>
      </c>
      <c r="B16" s="7" t="s">
        <v>517</v>
      </c>
      <c r="C16" s="7" t="s">
        <v>57</v>
      </c>
      <c r="D16" s="7" t="str">
        <f aca="false">2_MasterSchedule!F37</f>
        <v>Sprint Goal: an Administrator can manage books (soft delete), categories and authors, and a Customer can browse a responsive grid of ≥ 30 books, 12 per page, newest first – F2 and F3 meet all their AC; CR-06 processed through the CCB.</v>
      </c>
      <c r="E16" s="7" t="s">
        <v>518</v>
      </c>
      <c r="F16" s="7" t="str">
        <f aca="false">3_ItemAllocation!E38</f>
        <v>TBD</v>
      </c>
      <c r="G16" s="17" t="n">
        <f aca="false">$B$5*$B$6</f>
        <v>56</v>
      </c>
      <c r="H16" s="17" t="n">
        <f aca="false">2_MasterSchedule!E37</f>
        <v>53.5</v>
      </c>
      <c r="I16" s="17" t="str">
        <f aca="false">IF(ISNUMBER(F16),IF(F16&gt;0,H16/F16,"TBD"),"TBD")</f>
        <v>TBD</v>
      </c>
      <c r="J16" s="26" t="n">
        <f aca="false">$B$23*2/$B$7</f>
        <v>20333333.3333333</v>
      </c>
      <c r="K16" s="7" t="str">
        <f aca="false">IF(ISNUMBER(F16),IF(F16&lt;=$B$11,"Within velocity","Over velocity"),"TBD")</f>
        <v>TBD</v>
      </c>
      <c r="L16" s="7" t="str">
        <f aca="false">IF(H16&lt;=G16,"Within capacity","Over capacity")</f>
        <v>Within capacity</v>
      </c>
    </row>
    <row r="17" customFormat="false" ht="63.75" hidden="false" customHeight="true" outlineLevel="0" collapsed="false">
      <c r="A17" s="7" t="s">
        <v>38</v>
      </c>
      <c r="B17" s="7" t="s">
        <v>519</v>
      </c>
      <c r="C17" s="7" t="s">
        <v>26</v>
      </c>
      <c r="D17" s="7" t="str">
        <f aca="false">2_MasterSchedule!F65</f>
        <v>Sprint Goal: a Customer can open a book's details and search/filter the catalogue together with pagination – F4 and F5 meet all their AC, F1–F3 pass regression, v1.0 is tagged and ready for UAT.</v>
      </c>
      <c r="E17" s="7" t="s">
        <v>520</v>
      </c>
      <c r="F17" s="7" t="str">
        <f aca="false">3_ItemAllocation!E39</f>
        <v>TBD</v>
      </c>
      <c r="G17" s="17" t="n">
        <f aca="false">$B$5*$B$6</f>
        <v>56</v>
      </c>
      <c r="H17" s="17" t="n">
        <f aca="false">2_MasterSchedule!E65</f>
        <v>37.5</v>
      </c>
      <c r="I17" s="17" t="str">
        <f aca="false">IF(ISNUMBER(F17),IF(F17&gt;0,H17/F17,"TBD"),"TBD")</f>
        <v>TBD</v>
      </c>
      <c r="J17" s="26" t="n">
        <f aca="false">$B$23*3/$B$7</f>
        <v>30500000</v>
      </c>
      <c r="K17" s="7" t="str">
        <f aca="false">IF(ISNUMBER(F17),IF(F17&lt;=$B$11,"Within velocity","Over velocity"),"TBD")</f>
        <v>TBD</v>
      </c>
      <c r="L17" s="7" t="str">
        <f aca="false">IF(H17&lt;=G17,"Within capacity","Over capacity")</f>
        <v>Within capacity</v>
      </c>
    </row>
    <row r="18" customFormat="false" ht="15" hidden="false" customHeight="false" outlineLevel="0" collapsed="false">
      <c r="A18" s="3" t="s">
        <v>521</v>
      </c>
      <c r="F18" s="3" t="str">
        <f aca="false">IF(COUNT(F15:F17)=3,SUM(F15:F17),"TBD")</f>
        <v>TBD</v>
      </c>
      <c r="G18" s="22" t="n">
        <f aca="false">SUM(G15:G17)</f>
        <v>168</v>
      </c>
      <c r="H18" s="22" t="n">
        <f aca="false">SUM(H15:H17)</f>
        <v>152.5</v>
      </c>
    </row>
    <row r="21" customFormat="false" ht="15" hidden="false" customHeight="false" outlineLevel="0" collapsed="false">
      <c r="A21" s="5" t="s">
        <v>522</v>
      </c>
    </row>
    <row r="22" customFormat="false" ht="15" hidden="false" customHeight="false" outlineLevel="0" collapsed="false">
      <c r="A22" s="6" t="s">
        <v>523</v>
      </c>
      <c r="B22" s="6" t="s">
        <v>524</v>
      </c>
      <c r="C22" s="6" t="s">
        <v>525</v>
      </c>
    </row>
    <row r="23" customFormat="false" ht="23.85" hidden="false" customHeight="false" outlineLevel="0" collapsed="false">
      <c r="A23" s="7" t="s">
        <v>526</v>
      </c>
      <c r="B23" s="27" t="n">
        <f aca="false">2_MasterSchedule!E98*B8</f>
        <v>30500000</v>
      </c>
      <c r="C23" s="7" t="s">
        <v>527</v>
      </c>
    </row>
    <row r="24" customFormat="false" ht="15" hidden="false" customHeight="false" outlineLevel="0" collapsed="false">
      <c r="A24" s="7" t="s">
        <v>528</v>
      </c>
      <c r="B24" s="3" t="str">
        <f aca="false">F18</f>
        <v>TBD</v>
      </c>
      <c r="C24" s="7" t="s">
        <v>529</v>
      </c>
    </row>
    <row r="25" customFormat="false" ht="15" hidden="false" customHeight="false" outlineLevel="0" collapsed="false">
      <c r="A25" s="7" t="s">
        <v>530</v>
      </c>
      <c r="B25" s="7" t="str">
        <f aca="false">IF(B24=3_ItemAllocation!E42,"Match","Mismatch")</f>
        <v>Match</v>
      </c>
    </row>
    <row r="26" customFormat="false" ht="15" hidden="false" customHeight="false" outlineLevel="0" collapsed="false">
      <c r="A26" s="7" t="s">
        <v>531</v>
      </c>
      <c r="B26" s="28" t="str">
        <f aca="false">IF(ISNUMBER(B24),H18/B24,"TBD")</f>
        <v>TBD</v>
      </c>
    </row>
    <row r="27" customFormat="false" ht="15" hidden="false" customHeight="false" outlineLevel="0" collapsed="false">
      <c r="A27" s="7" t="s">
        <v>532</v>
      </c>
      <c r="B27" s="17" t="n">
        <f aca="false">2_MasterSchedule!E99</f>
        <v>18</v>
      </c>
      <c r="C27" s="7" t="s">
        <v>533</v>
      </c>
    </row>
    <row r="29" customFormat="false" ht="15" hidden="false" customHeight="false" outlineLevel="0" collapsed="false">
      <c r="A29" s="5" t="s">
        <v>534</v>
      </c>
    </row>
    <row r="30" customFormat="false" ht="15" hidden="false" customHeight="false" outlineLevel="0" collapsed="false">
      <c r="A30" s="6" t="s">
        <v>69</v>
      </c>
      <c r="B30" s="6" t="s">
        <v>524</v>
      </c>
      <c r="C30" s="6" t="s">
        <v>535</v>
      </c>
    </row>
    <row r="31" customFormat="false" ht="15" hidden="false" customHeight="false" outlineLevel="0" collapsed="false">
      <c r="A31" s="7" t="s">
        <v>536</v>
      </c>
      <c r="B31" s="8" t="s">
        <v>77</v>
      </c>
      <c r="C31" s="7" t="s">
        <v>537</v>
      </c>
    </row>
    <row r="32" customFormat="false" ht="23.85" hidden="false" customHeight="false" outlineLevel="0" collapsed="false">
      <c r="A32" s="7" t="s">
        <v>538</v>
      </c>
      <c r="B32" s="29" t="n">
        <v>22</v>
      </c>
      <c r="C32" s="7" t="s">
        <v>539</v>
      </c>
    </row>
    <row r="33" customFormat="false" ht="15" hidden="false" customHeight="false" outlineLevel="0" collapsed="false">
      <c r="A33" s="7" t="s">
        <v>540</v>
      </c>
      <c r="B33" s="27" t="str">
        <f aca="false">IF(B31="Approved",B23+B32*B8,"n/a")</f>
        <v>n/a</v>
      </c>
      <c r="C33" s="7" t="s">
        <v>541</v>
      </c>
    </row>
    <row r="34" customFormat="false" ht="15" hidden="false" customHeight="false" outlineLevel="0" collapsed="false">
      <c r="A34" s="7" t="s">
        <v>542</v>
      </c>
      <c r="B34" s="3" t="str">
        <f aca="false">IF(B31="Approved",IF(AND(ISNUMBER(B24),ISNUMBER(3_ItemAllocation!E40)),B24+3_ItemAllocation!E40,"TBD"),"n/a")</f>
        <v>n/a</v>
      </c>
    </row>
    <row r="36" customFormat="false" ht="15" hidden="false" customHeight="false" outlineLevel="0" collapsed="false">
      <c r="A36" s="2" t="s">
        <v>543</v>
      </c>
    </row>
  </sheetData>
  <dataValidations count="1">
    <dataValidation allowBlank="false" errorStyle="stop" operator="between" showDropDown="false" showErrorMessage="false" showInputMessage="false" sqref="B31" type="list">
      <formula1>"Pending,Approved,Rejected,Deferred"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6"/>
    <col collapsed="false" customWidth="true" hidden="false" outlineLevel="0" max="4" min="4" style="0" width="48"/>
  </cols>
  <sheetData>
    <row r="1" customFormat="false" ht="17.35" hidden="false" customHeight="false" outlineLevel="0" collapsed="false">
      <c r="A1" s="1" t="s">
        <v>544</v>
      </c>
    </row>
    <row r="2" customFormat="false" ht="15" hidden="false" customHeight="false" outlineLevel="0" collapsed="false">
      <c r="A2" s="2" t="s">
        <v>545</v>
      </c>
    </row>
    <row r="4" customFormat="false" ht="15" hidden="false" customHeight="false" outlineLevel="0" collapsed="false">
      <c r="A4" s="6" t="s">
        <v>69</v>
      </c>
      <c r="B4" s="6" t="s">
        <v>26</v>
      </c>
      <c r="C4" s="6" t="s">
        <v>27</v>
      </c>
      <c r="D4" s="6" t="s">
        <v>546</v>
      </c>
    </row>
    <row r="5" customFormat="false" ht="23.85" hidden="false" customHeight="false" outlineLevel="0" collapsed="false">
      <c r="A5" s="7" t="s">
        <v>547</v>
      </c>
      <c r="B5" s="7" t="s">
        <v>548</v>
      </c>
      <c r="C5" s="7" t="s">
        <v>549</v>
      </c>
      <c r="D5" s="7" t="s">
        <v>550</v>
      </c>
    </row>
    <row r="6" customFormat="false" ht="15" hidden="false" customHeight="false" outlineLevel="0" collapsed="false">
      <c r="A6" s="7" t="s">
        <v>551</v>
      </c>
      <c r="B6" s="7" t="s">
        <v>552</v>
      </c>
      <c r="C6" s="7" t="s">
        <v>553</v>
      </c>
      <c r="D6" s="7" t="s">
        <v>554</v>
      </c>
    </row>
    <row r="7" customFormat="false" ht="15" hidden="false" customHeight="false" outlineLevel="0" collapsed="false">
      <c r="A7" s="7" t="s">
        <v>555</v>
      </c>
      <c r="B7" s="7" t="s">
        <v>553</v>
      </c>
      <c r="C7" s="7" t="s">
        <v>552</v>
      </c>
      <c r="D7" s="7" t="s">
        <v>556</v>
      </c>
    </row>
    <row r="8" customFormat="false" ht="15" hidden="false" customHeight="false" outlineLevel="0" collapsed="false">
      <c r="A8" s="7" t="s">
        <v>557</v>
      </c>
      <c r="B8" s="7" t="s">
        <v>552</v>
      </c>
      <c r="C8" s="7" t="s">
        <v>553</v>
      </c>
      <c r="D8" s="7" t="s">
        <v>558</v>
      </c>
    </row>
    <row r="9" customFormat="false" ht="15" hidden="false" customHeight="false" outlineLevel="0" collapsed="false">
      <c r="A9" s="7" t="s">
        <v>559</v>
      </c>
      <c r="B9" s="7" t="s">
        <v>552</v>
      </c>
      <c r="C9" s="7" t="s">
        <v>553</v>
      </c>
      <c r="D9" s="7" t="s">
        <v>560</v>
      </c>
    </row>
    <row r="10" customFormat="false" ht="15" hidden="false" customHeight="false" outlineLevel="0" collapsed="false">
      <c r="A10" s="7" t="s">
        <v>561</v>
      </c>
      <c r="B10" s="7" t="s">
        <v>553</v>
      </c>
      <c r="C10" s="7" t="s">
        <v>552</v>
      </c>
      <c r="D10" s="7" t="s">
        <v>562</v>
      </c>
    </row>
    <row r="11" customFormat="false" ht="15" hidden="false" customHeight="false" outlineLevel="0" collapsed="false">
      <c r="A11" s="7" t="s">
        <v>563</v>
      </c>
      <c r="B11" s="7" t="s">
        <v>553</v>
      </c>
      <c r="C11" s="7" t="s">
        <v>552</v>
      </c>
      <c r="D11" s="7" t="s">
        <v>564</v>
      </c>
    </row>
    <row r="12" customFormat="false" ht="15" hidden="false" customHeight="false" outlineLevel="0" collapsed="false">
      <c r="A12" s="7" t="s">
        <v>565</v>
      </c>
      <c r="B12" s="7" t="s">
        <v>553</v>
      </c>
      <c r="C12" s="7" t="s">
        <v>552</v>
      </c>
      <c r="D12" s="7" t="s">
        <v>566</v>
      </c>
    </row>
    <row r="13" customFormat="false" ht="15" hidden="false" customHeight="false" outlineLevel="0" collapsed="false">
      <c r="A13" s="7" t="s">
        <v>567</v>
      </c>
      <c r="B13" s="7" t="s">
        <v>552</v>
      </c>
      <c r="C13" s="7" t="s">
        <v>553</v>
      </c>
      <c r="D13" s="7" t="s">
        <v>568</v>
      </c>
    </row>
    <row r="14" customFormat="false" ht="15" hidden="false" customHeight="false" outlineLevel="0" collapsed="false">
      <c r="A14" s="7" t="s">
        <v>569</v>
      </c>
      <c r="B14" s="7" t="s">
        <v>570</v>
      </c>
      <c r="C14" s="7" t="s">
        <v>553</v>
      </c>
      <c r="D14" s="7" t="s">
        <v>571</v>
      </c>
    </row>
    <row r="15" customFormat="false" ht="15" hidden="false" customHeight="false" outlineLevel="0" collapsed="false">
      <c r="A15" s="7" t="s">
        <v>572</v>
      </c>
      <c r="B15" s="7" t="s">
        <v>573</v>
      </c>
      <c r="C15" s="7" t="s">
        <v>574</v>
      </c>
      <c r="D15" s="7" t="s">
        <v>575</v>
      </c>
    </row>
    <row r="16" customFormat="false" ht="15" hidden="false" customHeight="false" outlineLevel="0" collapsed="false">
      <c r="A16" s="7" t="s">
        <v>576</v>
      </c>
      <c r="B16" s="7" t="s">
        <v>577</v>
      </c>
      <c r="C16" s="7" t="s">
        <v>578</v>
      </c>
      <c r="D16" s="7" t="s">
        <v>579</v>
      </c>
    </row>
    <row r="17" customFormat="false" ht="15" hidden="false" customHeight="false" outlineLevel="0" collapsed="false">
      <c r="A17" s="7" t="s">
        <v>580</v>
      </c>
      <c r="B17" s="7" t="s">
        <v>581</v>
      </c>
      <c r="C17" s="7" t="s">
        <v>553</v>
      </c>
      <c r="D17" s="7" t="s">
        <v>582</v>
      </c>
    </row>
    <row r="18" customFormat="false" ht="15" hidden="false" customHeight="false" outlineLevel="0" collapsed="false">
      <c r="A18" s="7" t="s">
        <v>583</v>
      </c>
      <c r="B18" s="7" t="s">
        <v>584</v>
      </c>
      <c r="C18" s="7" t="s">
        <v>585</v>
      </c>
      <c r="D18" s="7" t="s">
        <v>586</v>
      </c>
    </row>
    <row r="19" customFormat="false" ht="15" hidden="false" customHeight="false" outlineLevel="0" collapsed="false">
      <c r="A19" s="7" t="s">
        <v>587</v>
      </c>
      <c r="B19" s="7" t="s">
        <v>552</v>
      </c>
      <c r="C19" s="7" t="s">
        <v>553</v>
      </c>
      <c r="D19" s="7" t="s">
        <v>588</v>
      </c>
    </row>
    <row r="20" customFormat="false" ht="15" hidden="false" customHeight="false" outlineLevel="0" collapsed="false">
      <c r="A20" s="7" t="s">
        <v>589</v>
      </c>
      <c r="B20" s="7" t="s">
        <v>553</v>
      </c>
      <c r="C20" s="7" t="s">
        <v>552</v>
      </c>
      <c r="D20" s="7" t="s">
        <v>590</v>
      </c>
    </row>
    <row r="21" customFormat="false" ht="15" hidden="false" customHeight="false" outlineLevel="0" collapsed="false">
      <c r="A21" s="7" t="s">
        <v>591</v>
      </c>
      <c r="B21" s="7" t="s">
        <v>592</v>
      </c>
      <c r="C21" s="7" t="s">
        <v>593</v>
      </c>
      <c r="D21" s="7" t="s">
        <v>594</v>
      </c>
    </row>
    <row r="22" customFormat="false" ht="15" hidden="false" customHeight="false" outlineLevel="0" collapsed="false">
      <c r="A22" s="7" t="s">
        <v>595</v>
      </c>
      <c r="B22" s="7" t="s">
        <v>570</v>
      </c>
      <c r="C22" s="7" t="s">
        <v>553</v>
      </c>
      <c r="D22" s="7" t="s">
        <v>596</v>
      </c>
    </row>
    <row r="23" customFormat="false" ht="15" hidden="false" customHeight="false" outlineLevel="0" collapsed="false">
      <c r="A23" s="7" t="s">
        <v>597</v>
      </c>
      <c r="B23" s="7" t="s">
        <v>598</v>
      </c>
      <c r="C23" s="7" t="s">
        <v>32</v>
      </c>
      <c r="D23" s="7" t="s">
        <v>599</v>
      </c>
    </row>
    <row r="25" customFormat="false" ht="15" hidden="false" customHeight="false" outlineLevel="0" collapsed="false">
      <c r="A25" s="5" t="s">
        <v>600</v>
      </c>
    </row>
    <row r="26" customFormat="false" ht="15" hidden="false" customHeight="false" outlineLevel="0" collapsed="false">
      <c r="A26" s="6" t="s">
        <v>601</v>
      </c>
      <c r="B26" s="6" t="s">
        <v>24</v>
      </c>
      <c r="C26" s="6" t="s">
        <v>32</v>
      </c>
      <c r="D26" s="6" t="s">
        <v>38</v>
      </c>
      <c r="E26" s="6" t="s">
        <v>602</v>
      </c>
    </row>
    <row r="27" customFormat="false" ht="15" hidden="false" customHeight="false" outlineLevel="0" collapsed="false">
      <c r="A27" s="7" t="s">
        <v>26</v>
      </c>
      <c r="B27" s="7" t="n">
        <f aca="false">SUMIFS(3_ItemAllocation!$E$5:$E$33,3_ItemAllocation!$H$5:$H$33,$A27,3_ItemAllocation!$G$5:$G$33,"Sprint 1")</f>
        <v>0</v>
      </c>
      <c r="C27" s="7" t="n">
        <f aca="false">SUMIFS(3_ItemAllocation!$E$5:$E$33,3_ItemAllocation!$H$5:$H$33,$A27,3_ItemAllocation!$G$5:$G$33,"Sprint 2")</f>
        <v>0</v>
      </c>
      <c r="D27" s="7" t="n">
        <f aca="false">SUMIFS(3_ItemAllocation!$E$5:$E$33,3_ItemAllocation!$H$5:$H$33,$A27,3_ItemAllocation!$G$5:$G$33,"Sprint 3")</f>
        <v>0</v>
      </c>
      <c r="E27" s="7" t="n">
        <f aca="false">SUM(B27:D27)</f>
        <v>0</v>
      </c>
    </row>
    <row r="28" customFormat="false" ht="15" hidden="false" customHeight="false" outlineLevel="0" collapsed="false">
      <c r="A28" s="7" t="s">
        <v>27</v>
      </c>
      <c r="B28" s="7" t="n">
        <f aca="false">SUMIFS(3_ItemAllocation!$E$5:$E$33,3_ItemAllocation!$H$5:$H$33,$A28,3_ItemAllocation!$G$5:$G$33,"Sprint 1")</f>
        <v>0</v>
      </c>
      <c r="C28" s="7" t="n">
        <f aca="false">SUMIFS(3_ItemAllocation!$E$5:$E$33,3_ItemAllocation!$H$5:$H$33,$A28,3_ItemAllocation!$G$5:$G$33,"Sprint 2")</f>
        <v>0</v>
      </c>
      <c r="D28" s="7" t="n">
        <f aca="false">SUMIFS(3_ItemAllocation!$E$5:$E$33,3_ItemAllocation!$H$5:$H$33,$A28,3_ItemAllocation!$G$5:$G$33,"Sprint 3")</f>
        <v>0</v>
      </c>
      <c r="E28" s="7" t="n">
        <f aca="false">SUM(B28:D28)</f>
        <v>0</v>
      </c>
    </row>
    <row r="30" customFormat="false" ht="15" hidden="false" customHeight="false" outlineLevel="0" collapsed="false">
      <c r="A30" s="5" t="s">
        <v>603</v>
      </c>
    </row>
    <row r="31" customFormat="false" ht="15" hidden="false" customHeight="false" outlineLevel="0" collapsed="false">
      <c r="A31" s="6" t="s">
        <v>601</v>
      </c>
      <c r="B31" s="6" t="s">
        <v>24</v>
      </c>
      <c r="C31" s="6" t="s">
        <v>32</v>
      </c>
      <c r="D31" s="6" t="s">
        <v>38</v>
      </c>
      <c r="E31" s="6" t="s">
        <v>44</v>
      </c>
    </row>
    <row r="32" customFormat="false" ht="15" hidden="false" customHeight="false" outlineLevel="0" collapsed="false">
      <c r="A32" s="7" t="s">
        <v>26</v>
      </c>
      <c r="B32" s="17" t="n">
        <f aca="false">SUMIFS(2_MasterSchedule!$E$5:$E$96,2_MasterSchedule!$D$5:$D$96,$A32,2_MasterSchedule!$B$5:$B$96,"Sprint 1")+SUMIFS(2_MasterSchedule!$E$5:$E$96,2_MasterSchedule!$D$5:$D$96,"Both",2_MasterSchedule!$B$5:$B$96,"Sprint 1")/2</f>
        <v>30.75</v>
      </c>
      <c r="C32" s="17" t="n">
        <f aca="false">SUMIFS(2_MasterSchedule!$E$5:$E$96,2_MasterSchedule!$D$5:$D$96,$A32,2_MasterSchedule!$B$5:$B$96,"Sprint 2")+SUMIFS(2_MasterSchedule!$E$5:$E$96,2_MasterSchedule!$D$5:$D$96,"Both",2_MasterSchedule!$B$5:$B$96,"Sprint 2")/2</f>
        <v>26.75</v>
      </c>
      <c r="D32" s="17" t="n">
        <f aca="false">SUMIFS(2_MasterSchedule!$E$5:$E$96,2_MasterSchedule!$D$5:$D$96,$A32,2_MasterSchedule!$B$5:$B$96,"Sprint 3")+SUMIFS(2_MasterSchedule!$E$5:$E$96,2_MasterSchedule!$D$5:$D$96,"Both",2_MasterSchedule!$B$5:$B$96,"Sprint 3")/2</f>
        <v>18.75</v>
      </c>
      <c r="E32" s="17" t="n">
        <f aca="false">SUMIFS(2_MasterSchedule!$E$5:$E$96,2_MasterSchedule!$D$5:$D$96,$A32,2_MasterSchedule!$B$5:$B$96,"Closure")+SUMIFS(2_MasterSchedule!$E$5:$E$96,2_MasterSchedule!$D$5:$D$96,"Both",2_MasterSchedule!$B$5:$B$96,"Closure")/2</f>
        <v>9.5</v>
      </c>
    </row>
    <row r="33" customFormat="false" ht="15" hidden="false" customHeight="false" outlineLevel="0" collapsed="false">
      <c r="A33" s="7" t="s">
        <v>27</v>
      </c>
      <c r="B33" s="17" t="n">
        <f aca="false">SUMIFS(2_MasterSchedule!$E$5:$E$96,2_MasterSchedule!$D$5:$D$96,$A33,2_MasterSchedule!$B$5:$B$96,"Sprint 1")+SUMIFS(2_MasterSchedule!$E$5:$E$96,2_MasterSchedule!$D$5:$D$96,"Both",2_MasterSchedule!$B$5:$B$96,"Sprint 1")/2</f>
        <v>30.75</v>
      </c>
      <c r="C33" s="17" t="n">
        <f aca="false">SUMIFS(2_MasterSchedule!$E$5:$E$96,2_MasterSchedule!$D$5:$D$96,$A33,2_MasterSchedule!$B$5:$B$96,"Sprint 2")+SUMIFS(2_MasterSchedule!$E$5:$E$96,2_MasterSchedule!$D$5:$D$96,"Both",2_MasterSchedule!$B$5:$B$96,"Sprint 2")/2</f>
        <v>26.75</v>
      </c>
      <c r="D33" s="17" t="n">
        <f aca="false">SUMIFS(2_MasterSchedule!$E$5:$E$96,2_MasterSchedule!$D$5:$D$96,$A33,2_MasterSchedule!$B$5:$B$96,"Sprint 3")+SUMIFS(2_MasterSchedule!$E$5:$E$96,2_MasterSchedule!$D$5:$D$96,"Both",2_MasterSchedule!$B$5:$B$96,"Sprint 3")/2</f>
        <v>18.75</v>
      </c>
      <c r="E33" s="17" t="n">
        <f aca="false">SUMIFS(2_MasterSchedule!$E$5:$E$96,2_MasterSchedule!$D$5:$D$96,$A33,2_MasterSchedule!$B$5:$B$96,"Closure")+SUMIFS(2_MasterSchedule!$E$5:$E$96,2_MasterSchedule!$D$5:$D$96,"Both",2_MasterSchedule!$B$5:$B$96,"Closure")/2</f>
        <v>8.5</v>
      </c>
    </row>
    <row r="34" customFormat="false" ht="15" hidden="false" customHeight="false" outlineLevel="0" collapsed="false">
      <c r="A34" s="7" t="s">
        <v>604</v>
      </c>
      <c r="B34" s="17" t="n">
        <f aca="false">4_ReleasePlan!$B$6</f>
        <v>28</v>
      </c>
      <c r="C34" s="17" t="n">
        <f aca="false">4_ReleasePlan!$B$6</f>
        <v>28</v>
      </c>
      <c r="D34" s="17" t="n">
        <f aca="false">4_ReleasePlan!$B$6</f>
        <v>28</v>
      </c>
    </row>
    <row r="35" customFormat="false" ht="15" hidden="false" customHeight="false" outlineLevel="0" collapsed="false">
      <c r="A35" s="7" t="str">
        <f aca="false">A32&amp;" – check"</f>
        <v>Hồ Du Tuấn Đạt – check</v>
      </c>
      <c r="B35" s="7" t="str">
        <f aca="false">IF(B32&lt;=B34,"OK","Over capacity")</f>
        <v>Over capacity</v>
      </c>
      <c r="C35" s="7" t="str">
        <f aca="false">IF(C32&lt;=C34,"OK","Over capacity")</f>
        <v>OK</v>
      </c>
      <c r="D35" s="7" t="str">
        <f aca="false">IF(D32&lt;=D34,"OK","Over capacity")</f>
        <v>OK</v>
      </c>
    </row>
    <row r="36" customFormat="false" ht="15" hidden="false" customHeight="false" outlineLevel="0" collapsed="false">
      <c r="A36" s="7" t="str">
        <f aca="false">A33&amp;" – check"</f>
        <v>Nguyễn Minh Chính – check</v>
      </c>
      <c r="B36" s="7" t="str">
        <f aca="false">IF(B33&lt;=B34,"OK","Over capacity")</f>
        <v>Over capacity</v>
      </c>
      <c r="C36" s="7" t="str">
        <f aca="false">IF(C33&lt;=C34,"OK","Over capacity")</f>
        <v>OK</v>
      </c>
      <c r="D36" s="7" t="str">
        <f aca="false">IF(D33&lt;=D34,"OK","Over capacity")</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20"/>
    <col collapsed="false" customWidth="true" hidden="false" outlineLevel="0" max="4" min="4" style="0" width="50"/>
    <col collapsed="false" customWidth="true" hidden="false" outlineLevel="0" max="5" min="5" style="0" width="58"/>
    <col collapsed="false" customWidth="true" hidden="false" outlineLevel="0" max="6" min="6" style="0" width="11"/>
  </cols>
  <sheetData>
    <row r="1" customFormat="false" ht="17.35" hidden="false" customHeight="false" outlineLevel="0" collapsed="false">
      <c r="A1" s="1" t="s">
        <v>605</v>
      </c>
    </row>
    <row r="2" customFormat="false" ht="15" hidden="false" customHeight="false" outlineLevel="0" collapsed="false">
      <c r="A2" s="2" t="s">
        <v>606</v>
      </c>
    </row>
    <row r="4" customFormat="false" ht="15" hidden="false" customHeight="false" outlineLevel="0" collapsed="false">
      <c r="A4" s="6" t="s">
        <v>607</v>
      </c>
      <c r="B4" s="6" t="s">
        <v>608</v>
      </c>
      <c r="C4" s="6" t="s">
        <v>609</v>
      </c>
      <c r="D4" s="6" t="s">
        <v>610</v>
      </c>
      <c r="E4" s="6" t="s">
        <v>611</v>
      </c>
      <c r="F4" s="6" t="s">
        <v>612</v>
      </c>
    </row>
    <row r="5" customFormat="false" ht="15" hidden="false" customHeight="false" outlineLevel="0" collapsed="false">
      <c r="A5" s="7" t="s">
        <v>613</v>
      </c>
      <c r="B5" s="7" t="s">
        <v>614</v>
      </c>
      <c r="C5" s="7" t="s">
        <v>27</v>
      </c>
      <c r="D5" s="7" t="s">
        <v>615</v>
      </c>
      <c r="E5" s="7" t="s">
        <v>616</v>
      </c>
      <c r="F5" s="8" t="s">
        <v>617</v>
      </c>
    </row>
    <row r="6" customFormat="false" ht="15" hidden="false" customHeight="false" outlineLevel="0" collapsed="false">
      <c r="A6" s="7" t="s">
        <v>24</v>
      </c>
      <c r="B6" s="7" t="s">
        <v>618</v>
      </c>
      <c r="C6" s="7" t="s">
        <v>26</v>
      </c>
      <c r="D6" s="7" t="s">
        <v>619</v>
      </c>
      <c r="E6" s="7" t="s">
        <v>620</v>
      </c>
      <c r="F6" s="8" t="s">
        <v>617</v>
      </c>
    </row>
    <row r="7" customFormat="false" ht="23.85" hidden="false" customHeight="false" outlineLevel="0" collapsed="false">
      <c r="A7" s="7" t="s">
        <v>24</v>
      </c>
      <c r="B7" s="7" t="s">
        <v>618</v>
      </c>
      <c r="C7" s="7" t="s">
        <v>26</v>
      </c>
      <c r="D7" s="7" t="s">
        <v>621</v>
      </c>
      <c r="E7" s="7" t="s">
        <v>622</v>
      </c>
      <c r="F7" s="8" t="s">
        <v>617</v>
      </c>
    </row>
    <row r="8" customFormat="false" ht="15" hidden="false" customHeight="false" outlineLevel="0" collapsed="false">
      <c r="A8" s="7" t="s">
        <v>24</v>
      </c>
      <c r="B8" s="7" t="s">
        <v>618</v>
      </c>
      <c r="C8" s="7" t="s">
        <v>26</v>
      </c>
      <c r="D8" s="7" t="s">
        <v>623</v>
      </c>
      <c r="E8" s="7" t="s">
        <v>624</v>
      </c>
      <c r="F8" s="8" t="s">
        <v>617</v>
      </c>
    </row>
    <row r="9" customFormat="false" ht="15" hidden="false" customHeight="false" outlineLevel="0" collapsed="false">
      <c r="A9" s="7" t="s">
        <v>24</v>
      </c>
      <c r="B9" s="7" t="s">
        <v>618</v>
      </c>
      <c r="C9" s="7" t="s">
        <v>26</v>
      </c>
      <c r="D9" s="7" t="s">
        <v>625</v>
      </c>
      <c r="E9" s="7" t="s">
        <v>626</v>
      </c>
      <c r="F9" s="8" t="s">
        <v>617</v>
      </c>
    </row>
    <row r="10" customFormat="false" ht="15" hidden="false" customHeight="false" outlineLevel="0" collapsed="false">
      <c r="A10" s="7" t="s">
        <v>32</v>
      </c>
      <c r="B10" s="7" t="s">
        <v>627</v>
      </c>
      <c r="C10" s="7" t="s">
        <v>27</v>
      </c>
      <c r="D10" s="7" t="s">
        <v>628</v>
      </c>
      <c r="E10" s="7" t="s">
        <v>629</v>
      </c>
      <c r="F10" s="8" t="s">
        <v>617</v>
      </c>
    </row>
    <row r="11" customFormat="false" ht="15" hidden="false" customHeight="false" outlineLevel="0" collapsed="false">
      <c r="A11" s="7" t="s">
        <v>32</v>
      </c>
      <c r="B11" s="7" t="s">
        <v>627</v>
      </c>
      <c r="C11" s="7" t="s">
        <v>27</v>
      </c>
      <c r="D11" s="7" t="s">
        <v>630</v>
      </c>
      <c r="E11" s="7" t="s">
        <v>631</v>
      </c>
      <c r="F11" s="8" t="s">
        <v>617</v>
      </c>
    </row>
    <row r="12" customFormat="false" ht="23.85" hidden="false" customHeight="false" outlineLevel="0" collapsed="false">
      <c r="A12" s="7" t="s">
        <v>32</v>
      </c>
      <c r="B12" s="7" t="s">
        <v>627</v>
      </c>
      <c r="C12" s="7" t="s">
        <v>27</v>
      </c>
      <c r="D12" s="7" t="s">
        <v>632</v>
      </c>
      <c r="E12" s="7" t="s">
        <v>633</v>
      </c>
      <c r="F12" s="8" t="s">
        <v>617</v>
      </c>
    </row>
    <row r="13" customFormat="false" ht="15" hidden="false" customHeight="false" outlineLevel="0" collapsed="false">
      <c r="A13" s="7" t="s">
        <v>32</v>
      </c>
      <c r="B13" s="7" t="s">
        <v>627</v>
      </c>
      <c r="C13" s="7" t="s">
        <v>27</v>
      </c>
      <c r="D13" s="7" t="s">
        <v>634</v>
      </c>
      <c r="E13" s="7" t="s">
        <v>626</v>
      </c>
      <c r="F13" s="8" t="s">
        <v>617</v>
      </c>
    </row>
    <row r="14" customFormat="false" ht="15" hidden="false" customHeight="false" outlineLevel="0" collapsed="false">
      <c r="A14" s="7" t="s">
        <v>38</v>
      </c>
      <c r="B14" s="7" t="s">
        <v>635</v>
      </c>
      <c r="C14" s="7" t="s">
        <v>26</v>
      </c>
      <c r="D14" s="7" t="s">
        <v>636</v>
      </c>
      <c r="E14" s="7" t="s">
        <v>637</v>
      </c>
      <c r="F14" s="8" t="s">
        <v>617</v>
      </c>
    </row>
    <row r="15" customFormat="false" ht="15" hidden="false" customHeight="false" outlineLevel="0" collapsed="false">
      <c r="A15" s="7" t="s">
        <v>38</v>
      </c>
      <c r="B15" s="7" t="s">
        <v>635</v>
      </c>
      <c r="C15" s="7" t="s">
        <v>26</v>
      </c>
      <c r="D15" s="7" t="s">
        <v>638</v>
      </c>
      <c r="E15" s="7" t="s">
        <v>639</v>
      </c>
      <c r="F15" s="8" t="s">
        <v>617</v>
      </c>
    </row>
    <row r="16" customFormat="false" ht="15" hidden="false" customHeight="false" outlineLevel="0" collapsed="false">
      <c r="A16" s="7" t="s">
        <v>38</v>
      </c>
      <c r="B16" s="7" t="s">
        <v>635</v>
      </c>
      <c r="C16" s="7" t="s">
        <v>26</v>
      </c>
      <c r="D16" s="7" t="s">
        <v>640</v>
      </c>
      <c r="E16" s="7" t="s">
        <v>641</v>
      </c>
      <c r="F16" s="8" t="s">
        <v>617</v>
      </c>
    </row>
    <row r="17" customFormat="false" ht="15" hidden="false" customHeight="false" outlineLevel="0" collapsed="false">
      <c r="A17" s="7" t="s">
        <v>38</v>
      </c>
      <c r="B17" s="7" t="s">
        <v>635</v>
      </c>
      <c r="C17" s="7" t="s">
        <v>26</v>
      </c>
      <c r="D17" s="7" t="s">
        <v>642</v>
      </c>
      <c r="E17" s="7" t="s">
        <v>626</v>
      </c>
      <c r="F17" s="8" t="s">
        <v>617</v>
      </c>
    </row>
    <row r="18" customFormat="false" ht="15" hidden="false" customHeight="false" outlineLevel="0" collapsed="false">
      <c r="A18" s="7" t="s">
        <v>643</v>
      </c>
      <c r="B18" s="7" t="s">
        <v>644</v>
      </c>
      <c r="C18" s="7" t="s">
        <v>27</v>
      </c>
      <c r="D18" s="7" t="s">
        <v>645</v>
      </c>
      <c r="E18" s="7" t="s">
        <v>646</v>
      </c>
      <c r="F18" s="8" t="s">
        <v>617</v>
      </c>
    </row>
    <row r="19" customFormat="false" ht="15" hidden="false" customHeight="false" outlineLevel="0" collapsed="false">
      <c r="A19" s="7" t="s">
        <v>643</v>
      </c>
      <c r="B19" s="7" t="s">
        <v>644</v>
      </c>
      <c r="C19" s="7" t="s">
        <v>26</v>
      </c>
      <c r="D19" s="7" t="s">
        <v>647</v>
      </c>
      <c r="E19" s="7" t="s">
        <v>648</v>
      </c>
      <c r="F19" s="8" t="s">
        <v>617</v>
      </c>
    </row>
    <row r="20" customFormat="false" ht="15" hidden="false" customHeight="false" outlineLevel="0" collapsed="false">
      <c r="A20" s="7" t="s">
        <v>643</v>
      </c>
      <c r="B20" s="7" t="s">
        <v>644</v>
      </c>
      <c r="C20" s="7" t="s">
        <v>27</v>
      </c>
      <c r="D20" s="7" t="s">
        <v>649</v>
      </c>
      <c r="E20" s="7" t="s">
        <v>650</v>
      </c>
      <c r="F20" s="8" t="s">
        <v>617</v>
      </c>
    </row>
    <row r="21" customFormat="false" ht="15" hidden="false" customHeight="false" outlineLevel="0" collapsed="false">
      <c r="A21" s="7" t="s">
        <v>643</v>
      </c>
      <c r="B21" s="7" t="s">
        <v>644</v>
      </c>
      <c r="C21" s="7" t="s">
        <v>27</v>
      </c>
      <c r="D21" s="7" t="s">
        <v>651</v>
      </c>
      <c r="E21" s="7" t="s">
        <v>652</v>
      </c>
      <c r="F21" s="8" t="s">
        <v>617</v>
      </c>
    </row>
    <row r="22" customFormat="false" ht="15" hidden="false" customHeight="false" outlineLevel="0" collapsed="false">
      <c r="A22" s="7" t="s">
        <v>643</v>
      </c>
      <c r="B22" s="7" t="s">
        <v>644</v>
      </c>
      <c r="C22" s="7" t="s">
        <v>653</v>
      </c>
      <c r="D22" s="7" t="s">
        <v>654</v>
      </c>
      <c r="E22" s="7" t="s">
        <v>655</v>
      </c>
      <c r="F22" s="8" t="s">
        <v>617</v>
      </c>
    </row>
    <row r="24" customFormat="false" ht="15" hidden="false" customHeight="false" outlineLevel="0" collapsed="false">
      <c r="A24" s="2" t="s">
        <v>656</v>
      </c>
    </row>
  </sheetData>
  <dataValidations count="1">
    <dataValidation allowBlank="false" errorStyle="stop" operator="between" showDropDown="false" showErrorMessage="false" showInputMessage="false" sqref="F5:F22" type="list">
      <formula1>"No,Yes"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4" min="3" style="0" width="8"/>
    <col collapsed="false" customWidth="true" hidden="false" outlineLevel="0" max="30" min="5" style="0" width="3.2"/>
    <col collapsed="false" customWidth="true" hidden="true" outlineLevel="0" max="100" min="100" style="0" width="13"/>
  </cols>
  <sheetData>
    <row r="1" customFormat="false" ht="17.35" hidden="false" customHeight="false" outlineLevel="0" collapsed="false">
      <c r="A1" s="1" t="s">
        <v>657</v>
      </c>
    </row>
    <row r="2" customFormat="false" ht="15" hidden="false" customHeight="false" outlineLevel="0" collapsed="false">
      <c r="A2" s="2" t="s">
        <v>658</v>
      </c>
    </row>
    <row r="4" customFormat="false" ht="21.6" hidden="false" customHeight="false" outlineLevel="0" collapsed="false">
      <c r="A4" s="6" t="s">
        <v>120</v>
      </c>
      <c r="B4" s="6" t="s">
        <v>69</v>
      </c>
      <c r="C4" s="6" t="s">
        <v>659</v>
      </c>
      <c r="D4" s="6" t="s">
        <v>660</v>
      </c>
      <c r="E4" s="30" t="n">
        <v>46318</v>
      </c>
      <c r="F4" s="30" t="n">
        <v>46319</v>
      </c>
      <c r="G4" s="30" t="n">
        <v>46320</v>
      </c>
      <c r="H4" s="30" t="n">
        <v>46321</v>
      </c>
      <c r="I4" s="30" t="n">
        <v>46322</v>
      </c>
      <c r="J4" s="30" t="n">
        <v>46323</v>
      </c>
      <c r="K4" s="30" t="n">
        <v>46324</v>
      </c>
      <c r="L4" s="30" t="n">
        <v>46325</v>
      </c>
      <c r="M4" s="30" t="n">
        <v>46326</v>
      </c>
      <c r="N4" s="30" t="n">
        <v>46327</v>
      </c>
      <c r="O4" s="30" t="n">
        <v>46328</v>
      </c>
      <c r="P4" s="30" t="n">
        <v>46329</v>
      </c>
      <c r="Q4" s="30" t="n">
        <v>46330</v>
      </c>
      <c r="R4" s="30" t="n">
        <v>46331</v>
      </c>
      <c r="S4" s="30" t="n">
        <v>46332</v>
      </c>
      <c r="T4" s="30" t="n">
        <v>46333</v>
      </c>
      <c r="U4" s="30" t="n">
        <v>46334</v>
      </c>
      <c r="V4" s="30" t="n">
        <v>46335</v>
      </c>
      <c r="W4" s="30" t="n">
        <v>46336</v>
      </c>
      <c r="X4" s="30" t="n">
        <v>46337</v>
      </c>
      <c r="Y4" s="30" t="n">
        <v>46338</v>
      </c>
      <c r="Z4" s="30" t="n">
        <v>46339</v>
      </c>
      <c r="AA4" s="30" t="n">
        <v>46340</v>
      </c>
      <c r="AB4" s="30" t="n">
        <v>46341</v>
      </c>
      <c r="AC4" s="30" t="n">
        <v>46342</v>
      </c>
      <c r="AD4" s="30" t="n">
        <v>46343</v>
      </c>
    </row>
    <row r="5" customFormat="false" ht="15" hidden="false" customHeight="false" outlineLevel="0" collapsed="false">
      <c r="A5" s="31" t="str">
        <f aca="false">2_MasterSchedule!A5</f>
        <v>1</v>
      </c>
      <c r="B5" s="31" t="str">
        <f aca="false">2_MasterSchedule!C5</f>
        <v>SPRINT 1 (Fri 23/10 – Thu 29/10) – Plan baseline &amp; F1  |  Leader: Hồ Du Tuấn Đạt</v>
      </c>
      <c r="C5" s="32" t="n">
        <f aca="false">2_MasterSchedule!H5</f>
        <v>46318</v>
      </c>
      <c r="D5" s="32" t="n">
        <f aca="false">2_MasterSchedule!I5</f>
        <v>46324</v>
      </c>
      <c r="E5" s="33"/>
      <c r="F5" s="33"/>
      <c r="G5" s="33"/>
      <c r="H5" s="33"/>
      <c r="I5" s="33"/>
      <c r="J5" s="33"/>
      <c r="K5" s="33"/>
      <c r="L5" s="33"/>
      <c r="M5" s="33"/>
      <c r="N5" s="33"/>
      <c r="O5" s="33"/>
      <c r="P5" s="33"/>
      <c r="Q5" s="33"/>
      <c r="R5" s="33"/>
      <c r="S5" s="33"/>
      <c r="T5" s="33"/>
      <c r="U5" s="33"/>
      <c r="V5" s="33"/>
      <c r="W5" s="33"/>
      <c r="X5" s="33"/>
      <c r="Y5" s="33"/>
      <c r="Z5" s="33"/>
      <c r="AA5" s="33"/>
      <c r="AB5" s="33"/>
      <c r="AC5" s="33"/>
      <c r="AD5" s="33"/>
      <c r="CV5" s="34" t="s">
        <v>661</v>
      </c>
    </row>
    <row r="6" customFormat="false" ht="15" hidden="false" customHeight="false" outlineLevel="0" collapsed="false">
      <c r="A6" s="35" t="str">
        <f aca="false">2_MasterSchedule!A6</f>
        <v>1.1</v>
      </c>
      <c r="B6" s="35" t="str">
        <f aca="false">2_MasterSchedule!C6</f>
        <v>Scrum events</v>
      </c>
      <c r="C6" s="36" t="n">
        <f aca="false">2_MasterSchedule!H6</f>
        <v>46318</v>
      </c>
      <c r="D6" s="36" t="n">
        <f aca="false">2_MasterSchedule!I6</f>
        <v>46324</v>
      </c>
      <c r="E6" s="33"/>
      <c r="F6" s="33"/>
      <c r="G6" s="33"/>
      <c r="H6" s="33"/>
      <c r="I6" s="33"/>
      <c r="J6" s="33"/>
      <c r="K6" s="33"/>
      <c r="L6" s="33"/>
      <c r="M6" s="33"/>
      <c r="N6" s="33"/>
      <c r="O6" s="33"/>
      <c r="P6" s="33"/>
      <c r="Q6" s="33"/>
      <c r="R6" s="33"/>
      <c r="S6" s="33"/>
      <c r="T6" s="33"/>
      <c r="U6" s="33"/>
      <c r="V6" s="33"/>
      <c r="W6" s="33"/>
      <c r="X6" s="33"/>
      <c r="Y6" s="33"/>
      <c r="Z6" s="33"/>
      <c r="AA6" s="33"/>
      <c r="AB6" s="33"/>
      <c r="AC6" s="33"/>
      <c r="AD6" s="33"/>
      <c r="CV6" s="34" t="s">
        <v>662</v>
      </c>
    </row>
    <row r="7" customFormat="false" ht="15" hidden="false" customHeight="false" outlineLevel="0" collapsed="false">
      <c r="A7" s="35" t="str">
        <f aca="false">2_MasterSchedule!A10</f>
        <v>1.2</v>
      </c>
      <c r="B7" s="35" t="str">
        <f aca="false">2_MasterSchedule!C10</f>
        <v>Project management – PMP v1.0 baseline</v>
      </c>
      <c r="C7" s="36" t="n">
        <f aca="false">2_MasterSchedule!H10</f>
        <v>46318</v>
      </c>
      <c r="D7" s="36" t="n">
        <f aca="false">2_MasterSchedule!I10</f>
        <v>46324</v>
      </c>
      <c r="E7" s="33"/>
      <c r="F7" s="33"/>
      <c r="G7" s="33"/>
      <c r="H7" s="33"/>
      <c r="I7" s="33"/>
      <c r="J7" s="33"/>
      <c r="K7" s="33"/>
      <c r="L7" s="33"/>
      <c r="M7" s="33"/>
      <c r="N7" s="33"/>
      <c r="O7" s="33"/>
      <c r="P7" s="33"/>
      <c r="Q7" s="33"/>
      <c r="R7" s="33"/>
      <c r="S7" s="33"/>
      <c r="T7" s="33"/>
      <c r="U7" s="33"/>
      <c r="V7" s="33"/>
      <c r="W7" s="33"/>
      <c r="X7" s="33"/>
      <c r="Y7" s="33"/>
      <c r="Z7" s="33"/>
      <c r="AA7" s="33"/>
      <c r="AB7" s="33"/>
      <c r="AC7" s="33"/>
      <c r="AD7" s="33"/>
      <c r="CV7" s="34" t="s">
        <v>662</v>
      </c>
    </row>
    <row r="8" customFormat="false" ht="15" hidden="false" customHeight="false" outlineLevel="0" collapsed="false">
      <c r="A8" s="35" t="str">
        <f aca="false">2_MasterSchedule!A24</f>
        <v>1.3</v>
      </c>
      <c r="B8" s="35" t="str">
        <f aca="false">2_MasterSchedule!C24</f>
        <v>Development – F1 and foundations</v>
      </c>
      <c r="C8" s="36" t="n">
        <f aca="false">2_MasterSchedule!H24</f>
        <v>46319</v>
      </c>
      <c r="D8" s="36" t="n">
        <f aca="false">2_MasterSchedule!I24</f>
        <v>46323</v>
      </c>
      <c r="E8" s="33"/>
      <c r="F8" s="33"/>
      <c r="G8" s="33"/>
      <c r="H8" s="33"/>
      <c r="I8" s="33"/>
      <c r="J8" s="33"/>
      <c r="K8" s="33"/>
      <c r="L8" s="33"/>
      <c r="M8" s="33"/>
      <c r="N8" s="33"/>
      <c r="O8" s="33"/>
      <c r="P8" s="33"/>
      <c r="Q8" s="33"/>
      <c r="R8" s="33"/>
      <c r="S8" s="33"/>
      <c r="T8" s="33"/>
      <c r="U8" s="33"/>
      <c r="V8" s="33"/>
      <c r="W8" s="33"/>
      <c r="X8" s="33"/>
      <c r="Y8" s="33"/>
      <c r="Z8" s="33"/>
      <c r="AA8" s="33"/>
      <c r="AB8" s="33"/>
      <c r="AC8" s="33"/>
      <c r="AD8" s="33"/>
      <c r="CV8" s="34" t="s">
        <v>662</v>
      </c>
    </row>
    <row r="9" customFormat="false" ht="15" hidden="false" customHeight="false" outlineLevel="0" collapsed="false">
      <c r="A9" s="35" t="str">
        <f aca="false">2_MasterSchedule!A32</f>
        <v>1.4</v>
      </c>
      <c r="B9" s="35" t="str">
        <f aca="false">2_MasterSchedule!C32</f>
        <v>Testing – F1</v>
      </c>
      <c r="C9" s="36" t="n">
        <f aca="false">2_MasterSchedule!H32</f>
        <v>46320</v>
      </c>
      <c r="D9" s="36" t="n">
        <f aca="false">2_MasterSchedule!I32</f>
        <v>46324</v>
      </c>
      <c r="E9" s="33"/>
      <c r="F9" s="33"/>
      <c r="G9" s="33"/>
      <c r="H9" s="33"/>
      <c r="I9" s="33"/>
      <c r="J9" s="33"/>
      <c r="K9" s="33"/>
      <c r="L9" s="33"/>
      <c r="M9" s="33"/>
      <c r="N9" s="33"/>
      <c r="O9" s="33"/>
      <c r="P9" s="33"/>
      <c r="Q9" s="33"/>
      <c r="R9" s="33"/>
      <c r="S9" s="33"/>
      <c r="T9" s="33"/>
      <c r="U9" s="33"/>
      <c r="V9" s="33"/>
      <c r="W9" s="33"/>
      <c r="X9" s="33"/>
      <c r="Y9" s="33"/>
      <c r="Z9" s="33"/>
      <c r="AA9" s="33"/>
      <c r="AB9" s="33"/>
      <c r="AC9" s="33"/>
      <c r="AD9" s="33"/>
      <c r="CV9" s="34" t="s">
        <v>662</v>
      </c>
    </row>
    <row r="10" customFormat="false" ht="15" hidden="false" customHeight="false" outlineLevel="0" collapsed="false">
      <c r="A10" s="31" t="str">
        <f aca="false">2_MasterSchedule!A36</f>
        <v>M3</v>
      </c>
      <c r="B10" s="31" t="str">
        <f aca="false">2_MasterSchedule!C36</f>
        <v>◆ SPRINT 1 SUBMISSION – 23:59 Thu 29/10</v>
      </c>
      <c r="C10" s="32" t="n">
        <f aca="false">2_MasterSchedule!H36</f>
        <v>46324</v>
      </c>
      <c r="D10" s="32" t="n">
        <f aca="false">2_MasterSchedule!I36</f>
        <v>46324</v>
      </c>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CV10" s="34" t="s">
        <v>663</v>
      </c>
    </row>
    <row r="11" customFormat="false" ht="15" hidden="false" customHeight="false" outlineLevel="0" collapsed="false">
      <c r="A11" s="31" t="str">
        <f aca="false">2_MasterSchedule!A37</f>
        <v>2</v>
      </c>
      <c r="B11" s="31" t="str">
        <f aca="false">2_MasterSchedule!C37</f>
        <v>SPRINT 2 (Fri 30/10 – Thu 05/11) – Execution, monitoring &amp; change control  |  Leader: Nguyễn Minh Chính (PO)</v>
      </c>
      <c r="C11" s="32" t="n">
        <f aca="false">2_MasterSchedule!H37</f>
        <v>46325</v>
      </c>
      <c r="D11" s="32" t="n">
        <f aca="false">2_MasterSchedule!I37</f>
        <v>46331</v>
      </c>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CV11" s="34" t="s">
        <v>661</v>
      </c>
    </row>
    <row r="12" customFormat="false" ht="15" hidden="false" customHeight="false" outlineLevel="0" collapsed="false">
      <c r="A12" s="35" t="str">
        <f aca="false">2_MasterSchedule!A38</f>
        <v>2.1</v>
      </c>
      <c r="B12" s="35" t="str">
        <f aca="false">2_MasterSchedule!C38</f>
        <v>Scrum events</v>
      </c>
      <c r="C12" s="36" t="n">
        <f aca="false">2_MasterSchedule!H38</f>
        <v>46325</v>
      </c>
      <c r="D12" s="36" t="n">
        <f aca="false">2_MasterSchedule!I38</f>
        <v>46331</v>
      </c>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CV12" s="34" t="s">
        <v>662</v>
      </c>
    </row>
    <row r="13" customFormat="false" ht="15" hidden="false" customHeight="false" outlineLevel="0" collapsed="false">
      <c r="A13" s="35" t="str">
        <f aca="false">2_MasterSchedule!A42</f>
        <v>2.2</v>
      </c>
      <c r="B13" s="35" t="str">
        <f aca="false">2_MasterSchedule!C42</f>
        <v>Project management &amp; change control</v>
      </c>
      <c r="C13" s="36" t="n">
        <f aca="false">2_MasterSchedule!H42</f>
        <v>46325</v>
      </c>
      <c r="D13" s="36" t="n">
        <f aca="false">2_MasterSchedule!I42</f>
        <v>46331</v>
      </c>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CV13" s="34" t="s">
        <v>662</v>
      </c>
    </row>
    <row r="14" customFormat="false" ht="15" hidden="false" customHeight="false" outlineLevel="0" collapsed="false">
      <c r="A14" s="35" t="str">
        <f aca="false">2_MasterSchedule!A48</f>
        <v>2.3</v>
      </c>
      <c r="B14" s="35" t="str">
        <f aca="false">2_MasterSchedule!C48</f>
        <v>Development – F2 and F3</v>
      </c>
      <c r="C14" s="36" t="n">
        <f aca="false">2_MasterSchedule!H48</f>
        <v>46326</v>
      </c>
      <c r="D14" s="36" t="n">
        <f aca="false">2_MasterSchedule!I48</f>
        <v>46330</v>
      </c>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CV14" s="34" t="s">
        <v>662</v>
      </c>
    </row>
    <row r="15" customFormat="false" ht="15" hidden="false" customHeight="false" outlineLevel="0" collapsed="false">
      <c r="A15" s="35" t="str">
        <f aca="false">2_MasterSchedule!A60</f>
        <v>2.4</v>
      </c>
      <c r="B15" s="35" t="str">
        <f aca="false">2_MasterSchedule!C60</f>
        <v>Testing – F2 and F3</v>
      </c>
      <c r="C15" s="36" t="n">
        <f aca="false">2_MasterSchedule!H60</f>
        <v>46326</v>
      </c>
      <c r="D15" s="36" t="n">
        <f aca="false">2_MasterSchedule!I60</f>
        <v>46331</v>
      </c>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CV15" s="34" t="s">
        <v>662</v>
      </c>
    </row>
    <row r="16" customFormat="false" ht="15" hidden="false" customHeight="false" outlineLevel="0" collapsed="false">
      <c r="A16" s="31" t="str">
        <f aca="false">2_MasterSchedule!A64</f>
        <v>M5</v>
      </c>
      <c r="B16" s="31" t="str">
        <f aca="false">2_MasterSchedule!C64</f>
        <v>◆ SPRINT 2 SUBMISSION – 23:59 Thu 05/11</v>
      </c>
      <c r="C16" s="32" t="n">
        <f aca="false">2_MasterSchedule!H64</f>
        <v>46331</v>
      </c>
      <c r="D16" s="32" t="n">
        <f aca="false">2_MasterSchedule!I64</f>
        <v>46331</v>
      </c>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CV16" s="34" t="s">
        <v>663</v>
      </c>
    </row>
    <row r="17" customFormat="false" ht="15" hidden="false" customHeight="false" outlineLevel="0" collapsed="false">
      <c r="A17" s="31" t="str">
        <f aca="false">2_MasterSchedule!A65</f>
        <v>3</v>
      </c>
      <c r="B17" s="31" t="str">
        <f aca="false">2_MasterSchedule!C65</f>
        <v>SPRINT 3 (Fri 06/11 – Thu 12/11) – Complete Release 1.0 &amp; acceptance  |  Leader: Hồ Du Tuấn Đạt</v>
      </c>
      <c r="C17" s="32" t="n">
        <f aca="false">2_MasterSchedule!H65</f>
        <v>46332</v>
      </c>
      <c r="D17" s="32" t="n">
        <f aca="false">2_MasterSchedule!I65</f>
        <v>46338</v>
      </c>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CV17" s="34" t="s">
        <v>661</v>
      </c>
    </row>
    <row r="18" customFormat="false" ht="15" hidden="false" customHeight="false" outlineLevel="0" collapsed="false">
      <c r="A18" s="35" t="str">
        <f aca="false">2_MasterSchedule!A66</f>
        <v>3.1</v>
      </c>
      <c r="B18" s="35" t="str">
        <f aca="false">2_MasterSchedule!C66</f>
        <v>Scrum events</v>
      </c>
      <c r="C18" s="36" t="n">
        <f aca="false">2_MasterSchedule!H66</f>
        <v>46332</v>
      </c>
      <c r="D18" s="36" t="n">
        <f aca="false">2_MasterSchedule!I66</f>
        <v>46338</v>
      </c>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CV18" s="34" t="s">
        <v>662</v>
      </c>
    </row>
    <row r="19" customFormat="false" ht="15" hidden="false" customHeight="false" outlineLevel="0" collapsed="false">
      <c r="A19" s="35" t="str">
        <f aca="false">2_MasterSchedule!A70</f>
        <v>3.2</v>
      </c>
      <c r="B19" s="35" t="str">
        <f aca="false">2_MasterSchedule!C70</f>
        <v>Project management &amp; release</v>
      </c>
      <c r="C19" s="36" t="n">
        <f aca="false">2_MasterSchedule!H70</f>
        <v>46335</v>
      </c>
      <c r="D19" s="36" t="n">
        <f aca="false">2_MasterSchedule!I70</f>
        <v>46338</v>
      </c>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CV19" s="34" t="s">
        <v>662</v>
      </c>
    </row>
    <row r="20" customFormat="false" ht="15" hidden="false" customHeight="false" outlineLevel="0" collapsed="false">
      <c r="A20" s="35" t="str">
        <f aca="false">2_MasterSchedule!A75</f>
        <v>3.3</v>
      </c>
      <c r="B20" s="35" t="str">
        <f aca="false">2_MasterSchedule!C75</f>
        <v>Development – F4 and F5</v>
      </c>
      <c r="C20" s="36" t="n">
        <f aca="false">2_MasterSchedule!H75</f>
        <v>46333</v>
      </c>
      <c r="D20" s="36" t="n">
        <f aca="false">2_MasterSchedule!I75</f>
        <v>46336</v>
      </c>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CV20" s="34" t="s">
        <v>662</v>
      </c>
    </row>
    <row r="21" customFormat="false" ht="15" hidden="false" customHeight="false" outlineLevel="0" collapsed="false">
      <c r="A21" s="35" t="str">
        <f aca="false">2_MasterSchedule!A81</f>
        <v>3.4</v>
      </c>
      <c r="B21" s="35" t="str">
        <f aca="false">2_MasterSchedule!C81</f>
        <v>Testing – F4 and F5</v>
      </c>
      <c r="C21" s="36" t="n">
        <f aca="false">2_MasterSchedule!H81</f>
        <v>46333</v>
      </c>
      <c r="D21" s="36" t="n">
        <f aca="false">2_MasterSchedule!I81</f>
        <v>46337</v>
      </c>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CV21" s="34" t="s">
        <v>662</v>
      </c>
    </row>
    <row r="22" customFormat="false" ht="15" hidden="false" customHeight="false" outlineLevel="0" collapsed="false">
      <c r="A22" s="31" t="str">
        <f aca="false">2_MasterSchedule!A85</f>
        <v>M7</v>
      </c>
      <c r="B22" s="31" t="str">
        <f aca="false">2_MasterSchedule!C85</f>
        <v>◆ RELEASE v1.0 + SPRINT 3 SUBMISSION – 23:59 Thu 12/11</v>
      </c>
      <c r="C22" s="32" t="n">
        <f aca="false">2_MasterSchedule!H85</f>
        <v>46338</v>
      </c>
      <c r="D22" s="32" t="n">
        <f aca="false">2_MasterSchedule!I85</f>
        <v>46338</v>
      </c>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CV22" s="34" t="s">
        <v>663</v>
      </c>
    </row>
    <row r="23" customFormat="false" ht="15" hidden="false" customHeight="false" outlineLevel="0" collapsed="false">
      <c r="A23" s="31" t="str">
        <f aca="false">2_MasterSchedule!A86</f>
        <v>4</v>
      </c>
      <c r="B23" s="31" t="str">
        <f aca="false">2_MasterSchedule!C86</f>
        <v>CONSOLIDATION &amp; CLOSURE (Fri 13/11 – Tue 17/11)  |  Whole team</v>
      </c>
      <c r="C23" s="32" t="n">
        <f aca="false">2_MasterSchedule!H86</f>
        <v>46339</v>
      </c>
      <c r="D23" s="32" t="n">
        <f aca="false">2_MasterSchedule!I86</f>
        <v>46343</v>
      </c>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CV23" s="34" t="s">
        <v>661</v>
      </c>
    </row>
    <row r="24" customFormat="false" ht="15" hidden="false" customHeight="false" outlineLevel="0" collapsed="false">
      <c r="A24" s="35" t="str">
        <f aca="false">2_MasterSchedule!A87</f>
        <v>4.1</v>
      </c>
      <c r="B24" s="35" t="str">
        <f aca="false">2_MasterSchedule!C87</f>
        <v>Acceptance and hand-over</v>
      </c>
      <c r="C24" s="36" t="n">
        <f aca="false">2_MasterSchedule!H87</f>
        <v>46339</v>
      </c>
      <c r="D24" s="36" t="n">
        <f aca="false">2_MasterSchedule!I87</f>
        <v>46340</v>
      </c>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CV24" s="34" t="s">
        <v>662</v>
      </c>
    </row>
    <row r="25" customFormat="false" ht="15" hidden="false" customHeight="false" outlineLevel="0" collapsed="false">
      <c r="A25" s="35" t="str">
        <f aca="false">2_MasterSchedule!A90</f>
        <v>4.2</v>
      </c>
      <c r="B25" s="35" t="str">
        <f aca="false">2_MasterSchedule!C90</f>
        <v>Closure documents and presentation</v>
      </c>
      <c r="C25" s="36" t="n">
        <f aca="false">2_MasterSchedule!H90</f>
        <v>46339</v>
      </c>
      <c r="D25" s="36" t="n">
        <f aca="false">2_MasterSchedule!I90</f>
        <v>46343</v>
      </c>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CV25" s="34" t="s">
        <v>662</v>
      </c>
    </row>
    <row r="26" customFormat="false" ht="15" hidden="false" customHeight="false" outlineLevel="0" collapsed="false">
      <c r="A26" s="31" t="str">
        <f aca="false">2_MasterSchedule!A96</f>
        <v>M10</v>
      </c>
      <c r="B26" s="31" t="str">
        <f aca="false">2_MasterSchedule!C96</f>
        <v>◆ FINAL PRESENTATION – 07:00 Tue 17/11</v>
      </c>
      <c r="C26" s="32" t="n">
        <f aca="false">2_MasterSchedule!H96</f>
        <v>46343</v>
      </c>
      <c r="D26" s="32" t="n">
        <f aca="false">2_MasterSchedule!I96</f>
        <v>46343</v>
      </c>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CV26" s="34" t="s">
        <v>663</v>
      </c>
    </row>
  </sheetData>
  <conditionalFormatting sqref="E5:AD26">
    <cfRule type="expression" priority="2" aboveAverage="0" equalAverage="0" bottom="0" percent="0" rank="0" text="" dxfId="0">
      <formula>AND($CV5="MS",E$4&gt;=$C5,E$4&lt;=$D5)</formula>
    </cfRule>
    <cfRule type="expression" priority="3" aboveAverage="0" equalAverage="0" bottom="0" percent="0" rank="0" text="" dxfId="1">
      <formula>AND($CV5="L1",E$4&gt;=$C5,E$4&lt;=$D5)</formula>
    </cfRule>
    <cfRule type="expression" priority="4" aboveAverage="0" equalAverage="0" bottom="0" percent="0" rank="0" text="" dxfId="2">
      <formula>AND($CV5="L2",E$4&gt;=$C5,E$4&lt;=$D5)</formula>
    </cfRule>
  </conditionalFormatting>
  <conditionalFormatting sqref="E4:AD26">
    <cfRule type="expression" priority="5" aboveAverage="0" equalAverage="0" bottom="0" percent="0" rank="0" text="" dxfId="3">
      <formula>E$4=TODAY()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18"/>
    <col collapsed="false" customWidth="true" hidden="false" outlineLevel="0" max="5" min="4" style="0" width="14"/>
    <col collapsed="false" customWidth="true" hidden="false" outlineLevel="0" max="6" min="6" style="0" width="10"/>
    <col collapsed="false" customWidth="true" hidden="false" outlineLevel="0" max="7" min="7" style="0" width="56"/>
    <col collapsed="false" customWidth="true" hidden="false" outlineLevel="0" max="8" min="8" style="0" width="3"/>
    <col collapsed="false" customWidth="true" hidden="false" outlineLevel="0" max="9" min="9" style="0" width="6"/>
    <col collapsed="false" customWidth="true" hidden="false" outlineLevel="0" max="10" min="10" style="0" width="22"/>
    <col collapsed="false" customWidth="true" hidden="false" outlineLevel="0" max="11" min="11" style="0" width="40"/>
  </cols>
  <sheetData>
    <row r="1" customFormat="false" ht="17.35" hidden="false" customHeight="false" outlineLevel="0" collapsed="false">
      <c r="A1" s="1" t="s">
        <v>664</v>
      </c>
    </row>
    <row r="2" customFormat="false" ht="15" hidden="false" customHeight="false" outlineLevel="0" collapsed="false">
      <c r="A2" s="2" t="s">
        <v>665</v>
      </c>
    </row>
    <row r="4" customFormat="false" ht="23.85" hidden="false" customHeight="false" outlineLevel="0" collapsed="false">
      <c r="A4" s="3" t="s">
        <v>666</v>
      </c>
      <c r="B4" s="37"/>
      <c r="C4" s="37"/>
      <c r="I4" s="6" t="s">
        <v>68</v>
      </c>
      <c r="J4" s="6" t="s">
        <v>601</v>
      </c>
      <c r="K4" s="6" t="s">
        <v>667</v>
      </c>
    </row>
    <row r="5" customFormat="false" ht="23.85" hidden="false" customHeight="false" outlineLevel="0" collapsed="false">
      <c r="A5" s="3" t="s">
        <v>668</v>
      </c>
      <c r="B5" s="37"/>
      <c r="C5" s="37"/>
      <c r="I5" s="7" t="n">
        <v>1</v>
      </c>
      <c r="J5" s="7" t="s">
        <v>26</v>
      </c>
      <c r="K5" s="7" t="s">
        <v>669</v>
      </c>
    </row>
    <row r="6" customFormat="false" ht="23.85" hidden="false" customHeight="true" outlineLevel="0" collapsed="false">
      <c r="A6" s="3" t="s">
        <v>670</v>
      </c>
      <c r="B6" s="4" t="s">
        <v>671</v>
      </c>
      <c r="C6" s="4"/>
      <c r="I6" s="7" t="n">
        <v>2</v>
      </c>
      <c r="J6" s="7" t="s">
        <v>27</v>
      </c>
      <c r="K6" s="7" t="s">
        <v>672</v>
      </c>
    </row>
    <row r="8" customFormat="false" ht="23.85" hidden="false" customHeight="false" outlineLevel="0" collapsed="false">
      <c r="A8" s="6" t="s">
        <v>370</v>
      </c>
      <c r="B8" s="6" t="s">
        <v>69</v>
      </c>
      <c r="C8" s="6" t="s">
        <v>673</v>
      </c>
      <c r="D8" s="6" t="s">
        <v>674</v>
      </c>
      <c r="E8" s="6" t="s">
        <v>675</v>
      </c>
      <c r="F8" s="6" t="s">
        <v>676</v>
      </c>
      <c r="G8" s="6" t="s">
        <v>677</v>
      </c>
    </row>
    <row r="9" customFormat="false" ht="30" hidden="false" customHeight="true" outlineLevel="0" collapsed="false">
      <c r="A9" s="3" t="s">
        <v>378</v>
      </c>
      <c r="B9" s="7" t="s">
        <v>381</v>
      </c>
      <c r="C9" s="8"/>
      <c r="D9" s="8"/>
      <c r="E9" s="8"/>
      <c r="F9" s="8"/>
      <c r="G9" s="8"/>
    </row>
    <row r="10" customFormat="false" ht="30" hidden="false" customHeight="true" outlineLevel="0" collapsed="false">
      <c r="A10" s="3" t="s">
        <v>384</v>
      </c>
      <c r="B10" s="7" t="s">
        <v>385</v>
      </c>
      <c r="C10" s="8"/>
      <c r="D10" s="8"/>
      <c r="E10" s="8"/>
      <c r="F10" s="8"/>
      <c r="G10" s="8"/>
    </row>
    <row r="11" customFormat="false" ht="30" hidden="false" customHeight="true" outlineLevel="0" collapsed="false">
      <c r="A11" s="3" t="s">
        <v>387</v>
      </c>
      <c r="B11" s="7" t="s">
        <v>388</v>
      </c>
      <c r="C11" s="8"/>
      <c r="D11" s="8"/>
      <c r="E11" s="8"/>
      <c r="F11" s="8"/>
      <c r="G11" s="8"/>
    </row>
    <row r="12" customFormat="false" ht="30" hidden="false" customHeight="true" outlineLevel="0" collapsed="false">
      <c r="A12" s="3" t="s">
        <v>390</v>
      </c>
      <c r="B12" s="7" t="s">
        <v>393</v>
      </c>
      <c r="C12" s="8"/>
      <c r="D12" s="8"/>
      <c r="E12" s="8"/>
      <c r="F12" s="8"/>
      <c r="G12" s="8"/>
    </row>
    <row r="13" customFormat="false" ht="30" hidden="false" customHeight="true" outlineLevel="0" collapsed="false">
      <c r="A13" s="3" t="s">
        <v>395</v>
      </c>
      <c r="B13" s="7" t="s">
        <v>398</v>
      </c>
      <c r="C13" s="8"/>
      <c r="D13" s="8"/>
      <c r="E13" s="8"/>
      <c r="F13" s="8"/>
      <c r="G13" s="8"/>
    </row>
    <row r="14" customFormat="false" ht="30" hidden="false" customHeight="true" outlineLevel="0" collapsed="false">
      <c r="A14" s="3" t="s">
        <v>400</v>
      </c>
      <c r="B14" s="7" t="s">
        <v>401</v>
      </c>
      <c r="C14" s="8"/>
      <c r="D14" s="8"/>
      <c r="E14" s="8"/>
      <c r="F14" s="8"/>
      <c r="G14" s="8"/>
    </row>
    <row r="15" customFormat="false" ht="30" hidden="false" customHeight="true" outlineLevel="0" collapsed="false">
      <c r="A15" s="3" t="s">
        <v>403</v>
      </c>
      <c r="B15" s="7" t="s">
        <v>404</v>
      </c>
      <c r="C15" s="8"/>
      <c r="D15" s="8"/>
      <c r="E15" s="8"/>
      <c r="F15" s="8"/>
      <c r="G15" s="8"/>
    </row>
    <row r="16" customFormat="false" ht="30" hidden="false" customHeight="true" outlineLevel="0" collapsed="false">
      <c r="A16" s="3" t="s">
        <v>406</v>
      </c>
      <c r="B16" s="7" t="s">
        <v>407</v>
      </c>
      <c r="C16" s="8"/>
      <c r="D16" s="8"/>
      <c r="E16" s="8"/>
      <c r="F16" s="8"/>
      <c r="G16" s="8"/>
    </row>
    <row r="17" customFormat="false" ht="30" hidden="false" customHeight="true" outlineLevel="0" collapsed="false">
      <c r="A17" s="3" t="s">
        <v>409</v>
      </c>
      <c r="B17" s="7" t="s">
        <v>410</v>
      </c>
      <c r="C17" s="8"/>
      <c r="D17" s="8"/>
      <c r="E17" s="8"/>
      <c r="F17" s="8"/>
      <c r="G17" s="8"/>
    </row>
    <row r="18" customFormat="false" ht="30" hidden="false" customHeight="true" outlineLevel="0" collapsed="false">
      <c r="A18" s="3" t="s">
        <v>411</v>
      </c>
      <c r="B18" s="7" t="s">
        <v>414</v>
      </c>
      <c r="C18" s="8"/>
      <c r="D18" s="8"/>
      <c r="E18" s="8"/>
      <c r="F18" s="8"/>
      <c r="G18" s="8"/>
    </row>
    <row r="19" customFormat="false" ht="30" hidden="false" customHeight="true" outlineLevel="0" collapsed="false">
      <c r="A19" s="3" t="s">
        <v>416</v>
      </c>
      <c r="B19" s="7" t="s">
        <v>417</v>
      </c>
      <c r="C19" s="8"/>
      <c r="D19" s="8"/>
      <c r="E19" s="8"/>
      <c r="F19" s="8"/>
      <c r="G19" s="8"/>
    </row>
    <row r="20" customFormat="false" ht="30" hidden="false" customHeight="true" outlineLevel="0" collapsed="false">
      <c r="A20" s="3" t="s">
        <v>419</v>
      </c>
      <c r="B20" s="7" t="s">
        <v>420</v>
      </c>
      <c r="C20" s="8"/>
      <c r="D20" s="8"/>
      <c r="E20" s="8"/>
      <c r="F20" s="8"/>
      <c r="G20" s="8"/>
    </row>
    <row r="21" customFormat="false" ht="30" hidden="false" customHeight="true" outlineLevel="0" collapsed="false">
      <c r="A21" s="3" t="s">
        <v>422</v>
      </c>
      <c r="B21" s="7" t="s">
        <v>424</v>
      </c>
      <c r="C21" s="8"/>
      <c r="D21" s="8"/>
      <c r="E21" s="8"/>
      <c r="F21" s="8"/>
      <c r="G21" s="8"/>
    </row>
    <row r="22" customFormat="false" ht="30" hidden="false" customHeight="true" outlineLevel="0" collapsed="false">
      <c r="A22" s="3" t="s">
        <v>426</v>
      </c>
      <c r="B22" s="7" t="s">
        <v>428</v>
      </c>
      <c r="C22" s="8"/>
      <c r="D22" s="8"/>
      <c r="E22" s="8"/>
      <c r="F22" s="8"/>
      <c r="G22" s="8"/>
    </row>
    <row r="23" customFormat="false" ht="30" hidden="false" customHeight="true" outlineLevel="0" collapsed="false">
      <c r="A23" s="3" t="s">
        <v>430</v>
      </c>
      <c r="B23" s="7" t="s">
        <v>432</v>
      </c>
      <c r="C23" s="8"/>
      <c r="D23" s="8"/>
      <c r="E23" s="8"/>
      <c r="F23" s="8"/>
      <c r="G23" s="8"/>
    </row>
    <row r="24" customFormat="false" ht="30" hidden="false" customHeight="true" outlineLevel="0" collapsed="false">
      <c r="A24" s="3" t="s">
        <v>436</v>
      </c>
      <c r="B24" s="7" t="s">
        <v>437</v>
      </c>
      <c r="C24" s="8"/>
      <c r="D24" s="8"/>
      <c r="E24" s="8"/>
      <c r="F24" s="8"/>
      <c r="G24" s="8"/>
    </row>
    <row r="26" customFormat="false" ht="15" hidden="false" customHeight="false" outlineLevel="0" collapsed="false">
      <c r="A26" s="5" t="s">
        <v>678</v>
      </c>
    </row>
    <row r="27" customFormat="false" ht="15" hidden="false" customHeight="true" outlineLevel="0" collapsed="false">
      <c r="A27" s="6" t="s">
        <v>68</v>
      </c>
      <c r="B27" s="6" t="s">
        <v>679</v>
      </c>
      <c r="C27" s="6" t="s">
        <v>680</v>
      </c>
      <c r="D27" s="6"/>
      <c r="E27" s="6"/>
      <c r="F27" s="6"/>
      <c r="G27" s="6"/>
    </row>
    <row r="28" customFormat="false" ht="30" hidden="false" customHeight="true" outlineLevel="0" collapsed="false">
      <c r="A28" s="7" t="n">
        <v>1</v>
      </c>
      <c r="B28" s="7" t="s">
        <v>681</v>
      </c>
      <c r="C28" s="37"/>
      <c r="D28" s="37"/>
      <c r="E28" s="37"/>
      <c r="F28" s="37"/>
      <c r="G28" s="37"/>
    </row>
    <row r="29" customFormat="false" ht="30" hidden="false" customHeight="true" outlineLevel="0" collapsed="false">
      <c r="A29" s="7" t="n">
        <v>2</v>
      </c>
      <c r="B29" s="7" t="s">
        <v>682</v>
      </c>
      <c r="C29" s="37"/>
      <c r="D29" s="37"/>
      <c r="E29" s="37"/>
      <c r="F29" s="37"/>
      <c r="G29" s="37"/>
    </row>
    <row r="30" customFormat="false" ht="30" hidden="false" customHeight="true" outlineLevel="0" collapsed="false">
      <c r="A30" s="7" t="n">
        <v>3</v>
      </c>
      <c r="B30" s="7" t="s">
        <v>683</v>
      </c>
      <c r="C30" s="37"/>
      <c r="D30" s="37"/>
      <c r="E30" s="37"/>
      <c r="F30" s="37"/>
      <c r="G30" s="37"/>
    </row>
    <row r="31" customFormat="false" ht="30" hidden="false" customHeight="true" outlineLevel="0" collapsed="false">
      <c r="A31" s="7" t="n">
        <v>4</v>
      </c>
      <c r="B31" s="7" t="s">
        <v>684</v>
      </c>
      <c r="C31" s="37"/>
      <c r="D31" s="37"/>
      <c r="E31" s="37"/>
      <c r="F31" s="37"/>
      <c r="G31" s="37"/>
    </row>
  </sheetData>
  <mergeCells count="8">
    <mergeCell ref="B4:C4"/>
    <mergeCell ref="B5:C5"/>
    <mergeCell ref="B6:C6"/>
    <mergeCell ref="C27:G27"/>
    <mergeCell ref="C28:G28"/>
    <mergeCell ref="C29:G29"/>
    <mergeCell ref="C30:G30"/>
    <mergeCell ref="C31:G31"/>
  </mergeCells>
  <dataValidations count="1">
    <dataValidation allowBlank="true" errorStyle="stop" operator="between" showDropDown="false" showErrorMessage="false" showInputMessage="false" sqref="F9:F24" type="list">
      <formula1>"1,2,3,5,8,13"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2026-10-29T18:45:51Z</dcterms:created>
  <dc:creator>openpyxl</dc:creator>
  <dc:description/>
  <dc:language>en-US</dc:language>
  <cp:lastModifiedBy/>
  <dcterms:modified xsi:type="dcterms:W3CDTF">2026-10-29T18:45:51Z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